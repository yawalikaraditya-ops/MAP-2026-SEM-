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https://d.docs.live.net/5202b574d7987275/Desktop/MAP/"/>
    </mc:Choice>
  </mc:AlternateContent>
  <xr:revisionPtr revIDLastSave="1" documentId="8_{8C2906E9-5F2C-47D8-9F80-D3F3E6FBB683}" xr6:coauthVersionLast="47" xr6:coauthVersionMax="47" xr10:uidLastSave="{B002F90E-D4FB-4A18-B05D-BA57AFE2155F}"/>
  <bookViews>
    <workbookView xWindow="-108" yWindow="-108" windowWidth="23256" windowHeight="13896" xr2:uid="{00000000-000D-0000-FFFF-FFFF00000000}"/>
  </bookViews>
  <sheets>
    <sheet name="Insurance_Data" sheetId="1" r:id="rId1"/>
  </sheets>
  <calcPr calcId="191029"/>
  <pivotCaches>
    <pivotCache cacheId="36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1" i="1" l="1"/>
  <c r="H40" i="1"/>
  <c r="H32" i="1"/>
  <c r="H31" i="1"/>
  <c r="H30" i="1"/>
  <c r="H36" i="1"/>
  <c r="H35" i="1"/>
  <c r="H37" i="1" s="1"/>
  <c r="H26" i="1"/>
  <c r="H25" i="1"/>
  <c r="H27" i="1"/>
  <c r="H22" i="1"/>
  <c r="H21" i="1"/>
  <c r="H20" i="1"/>
  <c r="H18" i="1"/>
  <c r="H15" i="1"/>
  <c r="H14" i="1"/>
  <c r="H13" i="1"/>
  <c r="H12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<sst xmlns="http://schemas.openxmlformats.org/spreadsheetml/2006/main" count="146" uniqueCount="96">
  <si>
    <t>Policy_ID</t>
  </si>
  <si>
    <t>Age</t>
  </si>
  <si>
    <t>Policy_Type</t>
  </si>
  <si>
    <t>Premium_Amount</t>
  </si>
  <si>
    <t>Claim_Amount</t>
  </si>
  <si>
    <t>POL1001</t>
  </si>
  <si>
    <t>Home</t>
  </si>
  <si>
    <t>POL1002</t>
  </si>
  <si>
    <t>Vehicle</t>
  </si>
  <si>
    <t>POL1003</t>
  </si>
  <si>
    <t>Life</t>
  </si>
  <si>
    <t>POL1004</t>
  </si>
  <si>
    <t>POL1005</t>
  </si>
  <si>
    <t>Health</t>
  </si>
  <si>
    <t>POL1006</t>
  </si>
  <si>
    <t>POL1007</t>
  </si>
  <si>
    <t>POL1008</t>
  </si>
  <si>
    <t>POL1009</t>
  </si>
  <si>
    <t>POL1010</t>
  </si>
  <si>
    <t>POL1011</t>
  </si>
  <si>
    <t>POL1012</t>
  </si>
  <si>
    <t>POL1013</t>
  </si>
  <si>
    <t>POL1014</t>
  </si>
  <si>
    <t>POL1015</t>
  </si>
  <si>
    <t>POL1016</t>
  </si>
  <si>
    <t>POL1017</t>
  </si>
  <si>
    <t>POL1018</t>
  </si>
  <si>
    <t>POL1019</t>
  </si>
  <si>
    <t>POL1020</t>
  </si>
  <si>
    <t>POL1021</t>
  </si>
  <si>
    <t>POL1022</t>
  </si>
  <si>
    <t>POL1023</t>
  </si>
  <si>
    <t>POL1024</t>
  </si>
  <si>
    <t>POL1025</t>
  </si>
  <si>
    <t>POL1026</t>
  </si>
  <si>
    <t>POL1027</t>
  </si>
  <si>
    <t>POL1028</t>
  </si>
  <si>
    <t>POL1029</t>
  </si>
  <si>
    <t>POL1030</t>
  </si>
  <si>
    <t>POL1031</t>
  </si>
  <si>
    <t>POL1032</t>
  </si>
  <si>
    <t>POL1033</t>
  </si>
  <si>
    <t>POL1034</t>
  </si>
  <si>
    <t>POL1035</t>
  </si>
  <si>
    <t>POL1036</t>
  </si>
  <si>
    <t>POL1037</t>
  </si>
  <si>
    <t>POL1038</t>
  </si>
  <si>
    <t>POL1039</t>
  </si>
  <si>
    <t>POL1040</t>
  </si>
  <si>
    <t>POL1041</t>
  </si>
  <si>
    <t>POL1042</t>
  </si>
  <si>
    <t>POL1043</t>
  </si>
  <si>
    <t>POL1044</t>
  </si>
  <si>
    <t>POL1045</t>
  </si>
  <si>
    <t>POL1046</t>
  </si>
  <si>
    <t>POL1047</t>
  </si>
  <si>
    <t>POL1048</t>
  </si>
  <si>
    <t>POL1049</t>
  </si>
  <si>
    <t>POL1050</t>
  </si>
  <si>
    <t xml:space="preserve">                    MATHEMATICAL FUNCTION</t>
  </si>
  <si>
    <t>sum()</t>
  </si>
  <si>
    <t>AVERAGE()</t>
  </si>
  <si>
    <t>MIN()</t>
  </si>
  <si>
    <t>MAX()</t>
  </si>
  <si>
    <t>COUNT()</t>
  </si>
  <si>
    <r>
      <t xml:space="preserve">                                  </t>
    </r>
    <r>
      <rPr>
        <b/>
        <sz val="12"/>
        <color theme="1"/>
        <rFont val="Calibri"/>
        <family val="2"/>
        <scheme val="minor"/>
      </rPr>
      <t xml:space="preserve"> TEXT FUNCTION</t>
    </r>
  </si>
  <si>
    <t>LEFT()</t>
  </si>
  <si>
    <t>RIGHT()</t>
  </si>
  <si>
    <t>MID()</t>
  </si>
  <si>
    <t>CONCAT()</t>
  </si>
  <si>
    <r>
      <t xml:space="preserve">                             </t>
    </r>
    <r>
      <rPr>
        <b/>
        <sz val="12"/>
        <color theme="1"/>
        <rFont val="Calibri"/>
        <family val="2"/>
        <scheme val="minor"/>
      </rPr>
      <t>STATISTICS FUNCTION</t>
    </r>
  </si>
  <si>
    <t>MEAN()</t>
  </si>
  <si>
    <t>MODE()</t>
  </si>
  <si>
    <t>MEDIAN()</t>
  </si>
  <si>
    <t>STANDARD DEVIATION()</t>
  </si>
  <si>
    <t>Correlation ()</t>
  </si>
  <si>
    <r>
      <t xml:space="preserve">                               </t>
    </r>
    <r>
      <rPr>
        <b/>
        <sz val="12"/>
        <color theme="1"/>
        <rFont val="Calibri"/>
        <family val="2"/>
        <scheme val="minor"/>
      </rPr>
      <t>LOOKUP FUNCTION</t>
    </r>
  </si>
  <si>
    <t>VLOOKUP()</t>
  </si>
  <si>
    <t>HLOOKUP()</t>
  </si>
  <si>
    <t>XLOOKUP()</t>
  </si>
  <si>
    <r>
      <t xml:space="preserve">                                 </t>
    </r>
    <r>
      <rPr>
        <b/>
        <sz val="12"/>
        <color theme="1"/>
        <rFont val="Calibri"/>
        <family val="2"/>
        <scheme val="minor"/>
      </rPr>
      <t xml:space="preserve"> DATE FUNCTION</t>
    </r>
  </si>
  <si>
    <t>TODAY()</t>
  </si>
  <si>
    <t>NOW()</t>
  </si>
  <si>
    <t xml:space="preserve"> DATEDIF()</t>
  </si>
  <si>
    <r>
      <t xml:space="preserve">                            </t>
    </r>
    <r>
      <rPr>
        <b/>
        <sz val="12"/>
        <color theme="1"/>
        <rFont val="Calibri"/>
        <family val="2"/>
        <scheme val="minor"/>
      </rPr>
      <t xml:space="preserve"> LOGICAL FUNCTION</t>
    </r>
  </si>
  <si>
    <t>IF()</t>
  </si>
  <si>
    <t>OR()</t>
  </si>
  <si>
    <t>AND()</t>
  </si>
  <si>
    <t xml:space="preserve">                    FINACIAL FUNCTION</t>
  </si>
  <si>
    <t>PMT</t>
  </si>
  <si>
    <t>NPV</t>
  </si>
  <si>
    <t>Row Labels</t>
  </si>
  <si>
    <t>Grand Total</t>
  </si>
  <si>
    <t>Sum of Premium_Amount</t>
  </si>
  <si>
    <t>NO</t>
  </si>
  <si>
    <t xml:space="preserve">               INSURANCE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</si>
</sst>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0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4" borderId="0" xfId="0" applyFont="1" applyFill="1"/>
    <xf numFmtId="0" fontId="0" fillId="4" borderId="0" xfId="0" applyFill="1"/>
    <xf numFmtId="0" fontId="1" fillId="2" borderId="6" xfId="0" applyFont="1" applyFill="1" applyBorder="1" applyAlignment="1">
      <alignment horizontal="center"/>
    </xf>
    <xf numFmtId="0" fontId="0" fillId="0" borderId="12" xfId="0" applyBorder="1"/>
    <xf numFmtId="0" fontId="1" fillId="3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22" fontId="0" fillId="0" borderId="12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pivotButton="1" applyBorder="1" applyAlignment="1">
      <alignment horizontal="center"/>
    </xf>
    <xf numFmtId="0" fontId="3" fillId="4" borderId="0" xfId="0" applyFont="1" applyFill="1"/>
  </cellXfs>
  <cellStyles count="1">
    <cellStyle name="Normal" xfId="0" builtinId="0"/>
  </cellStyles>
  <dxfs count="55">
    <dxf>
      <numFmt numFmtId="12" formatCode="&quot;$&quot;#,##0.00_);[Red]\(&quot;$&quot;#,##0.00\)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2" formatCode="&quot;$&quot;#,##0.00_);[Red]\(&quot;$&quot;#,##0.00\)"/>
    </dxf>
    <dxf>
      <numFmt numFmtId="12" formatCode="&quot;$&quot;#,##0.00_);[Red]\(&quot;$&quot;#,##0.00\)"/>
      <alignment horizontal="center" vertical="bottom" textRotation="0" wrapText="0" indent="0" justifyLastLine="0" shrinkToFit="0" readingOrder="0"/>
    </dxf>
    <dxf>
      <numFmt numFmtId="12" formatCode="&quot;$&quot;#,##0.00_);[Red]\(&quot;$&quot;#,##0.00\)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/>
        <top/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9.838262731479" createdVersion="7" refreshedVersion="7" minRefreshableVersion="3" recordCount="50" xr:uid="{A630DBAB-ADEF-4479-9713-0B051332D041}">
  <cacheSource type="worksheet">
    <worksheetSource name="Table1"/>
  </cacheSource>
  <cacheFields count="5">
    <cacheField name="Policy_ID" numFmtId="0">
      <sharedItems/>
    </cacheField>
    <cacheField name="Age" numFmtId="0">
      <sharedItems containsSemiMixedTypes="0" containsString="0" containsNumber="1" containsInteger="1" minValue="21" maxValue="60"/>
    </cacheField>
    <cacheField name="Premium_Amount" numFmtId="0">
      <sharedItems containsSemiMixedTypes="0" containsString="0" containsNumber="1" containsInteger="1" minValue="10508" maxValue="49788"/>
    </cacheField>
    <cacheField name="Claim_Amount" numFmtId="0">
      <sharedItems containsSemiMixedTypes="0" containsString="0" containsNumber="1" containsInteger="1" minValue="0" maxValue="196617"/>
    </cacheField>
    <cacheField name="Policy_Type" numFmtId="0">
      <sharedItems count="4">
        <s v="Home"/>
        <s v="Vehicle"/>
        <s v="Life"/>
        <s v="Healt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POL1001"/>
    <n v="39"/>
    <n v="38472"/>
    <n v="0"/>
    <x v="0"/>
  </r>
  <r>
    <s v="POL1002"/>
    <n v="42"/>
    <n v="12139"/>
    <n v="196617"/>
    <x v="1"/>
  </r>
  <r>
    <s v="POL1003"/>
    <n v="41"/>
    <n v="32948"/>
    <n v="192569"/>
    <x v="2"/>
  </r>
  <r>
    <s v="POL1004"/>
    <n v="49"/>
    <n v="25520"/>
    <n v="35349"/>
    <x v="0"/>
  </r>
  <r>
    <s v="POL1005"/>
    <n v="25"/>
    <n v="12592"/>
    <n v="196332"/>
    <x v="3"/>
  </r>
  <r>
    <s v="POL1006"/>
    <n v="60"/>
    <n v="49788"/>
    <n v="1693"/>
    <x v="0"/>
  </r>
  <r>
    <s v="POL1007"/>
    <n v="37"/>
    <n v="15765"/>
    <n v="59284"/>
    <x v="2"/>
  </r>
  <r>
    <s v="POL1008"/>
    <n v="44"/>
    <n v="40053"/>
    <n v="53738"/>
    <x v="2"/>
  </r>
  <r>
    <s v="POL1009"/>
    <n v="59"/>
    <n v="46468"/>
    <n v="29174"/>
    <x v="2"/>
  </r>
  <r>
    <s v="POL1010"/>
    <n v="55"/>
    <n v="42031"/>
    <n v="100062"/>
    <x v="2"/>
  </r>
  <r>
    <s v="POL1011"/>
    <n v="24"/>
    <n v="14196"/>
    <n v="79527"/>
    <x v="3"/>
  </r>
  <r>
    <s v="POL1012"/>
    <n v="36"/>
    <n v="36443"/>
    <n v="58977"/>
    <x v="1"/>
  </r>
  <r>
    <s v="POL1013"/>
    <n v="42"/>
    <n v="12915"/>
    <n v="178677"/>
    <x v="0"/>
  </r>
  <r>
    <s v="POL1014"/>
    <n v="58"/>
    <n v="34051"/>
    <n v="185196"/>
    <x v="2"/>
  </r>
  <r>
    <s v="POL1015"/>
    <n v="39"/>
    <n v="48746"/>
    <n v="12182"/>
    <x v="2"/>
  </r>
  <r>
    <s v="POL1016"/>
    <n v="37"/>
    <n v="10508"/>
    <n v="77609"/>
    <x v="3"/>
  </r>
  <r>
    <s v="POL1017"/>
    <n v="40"/>
    <n v="12016"/>
    <n v="0"/>
    <x v="3"/>
  </r>
  <r>
    <s v="POL1018"/>
    <n v="29"/>
    <n v="42844"/>
    <n v="95372"/>
    <x v="3"/>
  </r>
  <r>
    <s v="POL1019"/>
    <n v="26"/>
    <n v="48917"/>
    <n v="0"/>
    <x v="3"/>
  </r>
  <r>
    <s v="POL1020"/>
    <n v="34"/>
    <n v="15341"/>
    <n v="0"/>
    <x v="1"/>
  </r>
  <r>
    <s v="POL1021"/>
    <n v="39"/>
    <n v="34195"/>
    <n v="100700"/>
    <x v="2"/>
  </r>
  <r>
    <s v="POL1022"/>
    <n v="59"/>
    <n v="41949"/>
    <n v="38976"/>
    <x v="3"/>
  </r>
  <r>
    <s v="POL1023"/>
    <n v="28"/>
    <n v="34134"/>
    <n v="119549"/>
    <x v="3"/>
  </r>
  <r>
    <s v="POL1024"/>
    <n v="37"/>
    <n v="16086"/>
    <n v="3400"/>
    <x v="1"/>
  </r>
  <r>
    <s v="POL1025"/>
    <n v="46"/>
    <n v="33192"/>
    <n v="108808"/>
    <x v="1"/>
  </r>
  <r>
    <s v="POL1026"/>
    <n v="49"/>
    <n v="11232"/>
    <n v="186682"/>
    <x v="1"/>
  </r>
  <r>
    <s v="POL1027"/>
    <n v="29"/>
    <n v="18524"/>
    <n v="0"/>
    <x v="3"/>
  </r>
  <r>
    <s v="POL1028"/>
    <n v="22"/>
    <n v="22294"/>
    <n v="20636"/>
    <x v="3"/>
  </r>
  <r>
    <s v="POL1029"/>
    <n v="21"/>
    <n v="30589"/>
    <n v="0"/>
    <x v="1"/>
  </r>
  <r>
    <s v="POL1030"/>
    <n v="22"/>
    <n v="23022"/>
    <n v="121443"/>
    <x v="0"/>
  </r>
  <r>
    <s v="POL1031"/>
    <n v="52"/>
    <n v="16906"/>
    <n v="192283"/>
    <x v="1"/>
  </r>
  <r>
    <s v="POL1032"/>
    <n v="38"/>
    <n v="47368"/>
    <n v="18932"/>
    <x v="2"/>
  </r>
  <r>
    <s v="POL1033"/>
    <n v="27"/>
    <n v="31373"/>
    <n v="168855"/>
    <x v="1"/>
  </r>
  <r>
    <s v="POL1034"/>
    <n v="59"/>
    <n v="19884"/>
    <n v="143151"/>
    <x v="2"/>
  </r>
  <r>
    <s v="POL1035"/>
    <n v="49"/>
    <n v="41909"/>
    <n v="82536"/>
    <x v="3"/>
  </r>
  <r>
    <s v="POL1036"/>
    <n v="59"/>
    <n v="27538"/>
    <n v="31045"/>
    <x v="3"/>
  </r>
  <r>
    <s v="POL1037"/>
    <n v="45"/>
    <n v="29010"/>
    <n v="179546"/>
    <x v="0"/>
  </r>
  <r>
    <s v="POL1038"/>
    <n v="51"/>
    <n v="20882"/>
    <n v="0"/>
    <x v="1"/>
  </r>
  <r>
    <s v="POL1039"/>
    <n v="35"/>
    <n v="44401"/>
    <n v="192505"/>
    <x v="1"/>
  </r>
  <r>
    <s v="POL1040"/>
    <n v="36"/>
    <n v="11061"/>
    <n v="50625"/>
    <x v="1"/>
  </r>
  <r>
    <s v="POL1041"/>
    <n v="50"/>
    <n v="38348"/>
    <n v="0"/>
    <x v="2"/>
  </r>
  <r>
    <s v="POL1042"/>
    <n v="36"/>
    <n v="46403"/>
    <n v="50196"/>
    <x v="0"/>
  </r>
  <r>
    <s v="POL1043"/>
    <n v="46"/>
    <n v="34494"/>
    <n v="0"/>
    <x v="2"/>
  </r>
  <r>
    <s v="POL1044"/>
    <n v="41"/>
    <n v="35321"/>
    <n v="149522"/>
    <x v="2"/>
  </r>
  <r>
    <s v="POL1045"/>
    <n v="36"/>
    <n v="29999"/>
    <n v="34250"/>
    <x v="2"/>
  </r>
  <r>
    <s v="POL1046"/>
    <n v="32"/>
    <n v="35871"/>
    <n v="101182"/>
    <x v="3"/>
  </r>
  <r>
    <s v="POL1047"/>
    <n v="57"/>
    <n v="12559"/>
    <n v="15805"/>
    <x v="3"/>
  </r>
  <r>
    <s v="POL1048"/>
    <n v="31"/>
    <n v="14971"/>
    <n v="108534"/>
    <x v="0"/>
  </r>
  <r>
    <s v="POL1049"/>
    <n v="54"/>
    <n v="20210"/>
    <n v="0"/>
    <x v="0"/>
  </r>
  <r>
    <s v="POL1050"/>
    <n v="23"/>
    <n v="12701"/>
    <n v="17163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119E29-2F5C-4ECB-AD3F-F0BB8CE70B03}" name="PivotTable4" cacheId="3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43:H48" firstHeaderRow="1" firstDataRow="1" firstDataCol="1"/>
  <pivotFields count="5">
    <pivotField showAll="0"/>
    <pivotField showAll="0"/>
    <pivotField dataField="1" showAll="0"/>
    <pivotField showAll="0"/>
    <pivotField axis="axisRow" showAll="0">
      <items count="5">
        <item x="3"/>
        <item x="0"/>
        <item x="2"/>
        <item x="1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emium_Amount" fld="2" baseField="0" baseItem="0"/>
  </dataFields>
  <formats count="12"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4" type="button" dataOnly="0" labelOnly="1" outline="0" axis="axisRow" fieldPosition="0"/>
    </format>
    <format dxfId="51">
      <pivotArea dataOnly="0" labelOnly="1" fieldPosition="0">
        <references count="1">
          <reference field="4" count="0"/>
        </references>
      </pivotArea>
    </format>
    <format dxfId="50">
      <pivotArea dataOnly="0" labelOnly="1" grandRow="1" outline="0" fieldPosition="0"/>
    </format>
    <format dxfId="49">
      <pivotArea dataOnly="0" labelOnly="1" outline="0" axis="axisValues" fieldPosition="0"/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4" type="button" dataOnly="0" labelOnly="1" outline="0" axis="axisRow" fieldPosition="0"/>
    </format>
    <format dxfId="45">
      <pivotArea dataOnly="0" labelOnly="1" fieldPosition="0">
        <references count="1">
          <reference field="4" count="0"/>
        </references>
      </pivotArea>
    </format>
    <format dxfId="44">
      <pivotArea dataOnly="0" labelOnly="1" grandRow="1" outline="0" fieldPosition="0"/>
    </format>
    <format dxfId="43">
      <pivotArea dataOnly="0" labelOnly="1" outline="0" axis="axisValues" fieldPosition="0"/>
    </format>
  </format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B2A4A3-2803-4BCE-88AA-546A113853CD}" name="Table1" displayName="Table1" ref="A4:E54" totalsRowShown="0" headerRowDxfId="42" dataDxfId="40" headerRowBorderDxfId="41" tableBorderDxfId="39" totalsRowBorderDxfId="38">
  <autoFilter ref="A4:E54" xr:uid="{2FB2A4A3-2803-4BCE-88AA-546A113853CD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ADA19C88-568C-4E5D-8CEA-32ACBCE518C3}" name="Policy_ID" dataDxfId="37"/>
    <tableColumn id="2" xr3:uid="{8D773298-E0B4-4A31-A8F6-8BAE6187F268}" name="Age" dataDxfId="36"/>
    <tableColumn id="3" xr3:uid="{307D1C6B-9E60-4D18-9B47-DAC0A1400353}" name="Premium_Amount" dataDxfId="35"/>
    <tableColumn id="4" xr3:uid="{74EE2031-1A63-416B-A852-10F6B54E1368}" name="Claim_Amount" dataDxfId="34"/>
    <tableColumn id="5" xr3:uid="{DCBF4387-60EB-4A66-A32D-E409B35C029F}" name="Policy_Type" dataDxfId="33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D589A9-97CD-41C4-A126-3D5A6A2AF778}" name="Table11" displayName="Table11" ref="H5:H9" headerRowCount="0" totalsRowShown="0" headerRowDxfId="32" headerRowBorderDxfId="31" tableBorderDxfId="30" totalsRowBorderDxfId="29">
  <tableColumns count="1">
    <tableColumn id="1" xr3:uid="{857D85C5-423F-447E-8C41-8C123B7AF79A}" name="Column1" headerRowDxfId="28" dataDxfId="27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70C467-D4C1-4603-9221-4AF8E7ED9369}" name="Table9" displayName="Table9" ref="H12:H15" headerRowCount="0" totalsRowShown="0" headerRowDxfId="26" dataDxfId="25" tableBorderDxfId="24" totalsRowBorderDxfId="23">
  <tableColumns count="1">
    <tableColumn id="1" xr3:uid="{3C67FB41-EBA9-4653-9171-72F7F186F511}" name="Column1" dataDxfId="22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A692C8-E021-4467-A825-79AA6A672226}" name="Table10" displayName="Table10" ref="H18:H22" headerRowCount="0" totalsRowShown="0" headerRowDxfId="21" dataDxfId="20" tableBorderDxfId="19" totalsRowBorderDxfId="18">
  <tableColumns count="1">
    <tableColumn id="1" xr3:uid="{9867EE6A-D684-4C76-8115-4D76F5A12BD9}" name="Column1" dataDxfId="17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E86967-7B10-4279-90BE-9D17BF4E9356}" name="Table4" displayName="Table4" ref="H25:H27" headerRowCount="0" totalsRowShown="0" headerRowDxfId="16" tableBorderDxfId="15" totalsRowBorderDxfId="14">
  <tableColumns count="1">
    <tableColumn id="1" xr3:uid="{BD9BCEF1-5F06-487D-BE93-4E56F67E164E}" name="Column1" dataDxfId="13">
      <calculatedColumnFormula>VLOOKUP(A6,A6:E35,3,FALSE)</calculatedColumnFormula>
    </tableColumn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5C5F8AB-FDF7-4320-AAED-24C248CEE4ED}" name="Table14" displayName="Table14" ref="H35:H37" headerRowCount="0" totalsRowShown="0" headerRowDxfId="12" dataDxfId="11" tableBorderDxfId="10" totalsRowBorderDxfId="9">
  <tableColumns count="1">
    <tableColumn id="1" xr3:uid="{0D03B9BE-D721-4375-B493-C12C619EE714}" name="Column1" dataDxfId="8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F567803-5DCC-4F81-BDB7-EC92FDF1A8D1}" name="Table3" displayName="Table3" ref="H30:H32" headerRowCount="0" totalsRowShown="0" headerRowDxfId="7" tableBorderDxfId="6" totalsRowBorderDxfId="5">
  <tableColumns count="1">
    <tableColumn id="1" xr3:uid="{47DE7DEB-3277-4C80-A409-BCED79962DB4}" name="Column1" dataDxfId="4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7F99EF3-AA57-4234-993D-FFCC2D023699}" name="Table12" displayName="Table12" ref="H40:H41" headerRowCount="0" totalsRowShown="0" headerRowDxfId="3" dataDxfId="2">
  <tableColumns count="1">
    <tableColumn id="1" xr3:uid="{A4DF9781-7EBF-4D86-829A-A9F8A9CDF86B}" name="Column1" headerRowDxfId="1" dataDxfId="0">
      <calculatedColumnFormula>NPV(5%,C:C)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workbookViewId="0">
      <selection activeCell="G6" sqref="G6"/>
    </sheetView>
  </sheetViews>
  <sheetFormatPr defaultRowHeight="14.4" x14ac:dyDescent="0.3"/>
  <cols>
    <col min="1" max="1" width="14.21875" customWidth="1"/>
    <col min="2" max="2" width="15.6640625" customWidth="1"/>
    <col min="3" max="3" width="18.44140625" customWidth="1"/>
    <col min="4" max="4" width="16.88671875" customWidth="1"/>
    <col min="5" max="5" width="19" customWidth="1"/>
    <col min="6" max="6" width="18.109375" customWidth="1"/>
    <col min="7" max="7" width="26.77734375" customWidth="1"/>
    <col min="8" max="8" width="28.88671875" customWidth="1"/>
  </cols>
  <sheetData>
    <row r="1" spans="1:8" x14ac:dyDescent="0.3">
      <c r="A1" s="12"/>
      <c r="B1" s="12"/>
      <c r="C1" s="12"/>
      <c r="D1" s="12"/>
      <c r="E1" s="12"/>
    </row>
    <row r="2" spans="1:8" ht="23.4" x14ac:dyDescent="0.45">
      <c r="A2" s="12"/>
      <c r="B2" s="27" t="s">
        <v>95</v>
      </c>
      <c r="C2" s="12"/>
      <c r="D2" s="12"/>
      <c r="E2" s="12"/>
    </row>
    <row r="3" spans="1:8" x14ac:dyDescent="0.3">
      <c r="A3" s="12"/>
      <c r="B3" s="12"/>
      <c r="C3" s="12"/>
      <c r="D3" s="12"/>
      <c r="E3" s="12"/>
    </row>
    <row r="4" spans="1:8" ht="15.6" x14ac:dyDescent="0.3">
      <c r="A4" s="2" t="s">
        <v>0</v>
      </c>
      <c r="B4" s="3" t="s">
        <v>1</v>
      </c>
      <c r="C4" s="3" t="s">
        <v>3</v>
      </c>
      <c r="D4" s="3" t="s">
        <v>4</v>
      </c>
      <c r="E4" s="4" t="s">
        <v>2</v>
      </c>
      <c r="G4" s="11" t="s">
        <v>59</v>
      </c>
      <c r="H4" s="12"/>
    </row>
    <row r="5" spans="1:8" x14ac:dyDescent="0.3">
      <c r="A5" s="5" t="s">
        <v>5</v>
      </c>
      <c r="B5" s="6">
        <v>39</v>
      </c>
      <c r="C5" s="6">
        <v>38472</v>
      </c>
      <c r="D5" s="6">
        <v>0</v>
      </c>
      <c r="E5" s="7" t="s">
        <v>6</v>
      </c>
      <c r="G5" s="13" t="s">
        <v>60</v>
      </c>
      <c r="H5" s="14">
        <f>SUM(C:C)</f>
        <v>1428179</v>
      </c>
    </row>
    <row r="6" spans="1:8" x14ac:dyDescent="0.3">
      <c r="A6" s="5" t="s">
        <v>7</v>
      </c>
      <c r="B6" s="6">
        <v>42</v>
      </c>
      <c r="C6" s="6">
        <v>12139</v>
      </c>
      <c r="D6" s="6">
        <v>196617</v>
      </c>
      <c r="E6" s="7" t="s">
        <v>8</v>
      </c>
      <c r="G6" s="15" t="s">
        <v>61</v>
      </c>
      <c r="H6" s="14">
        <f>AVERAGE(C:C)</f>
        <v>28563.58</v>
      </c>
    </row>
    <row r="7" spans="1:8" x14ac:dyDescent="0.3">
      <c r="A7" s="5" t="s">
        <v>9</v>
      </c>
      <c r="B7" s="6">
        <v>41</v>
      </c>
      <c r="C7" s="6">
        <v>32948</v>
      </c>
      <c r="D7" s="6">
        <v>192569</v>
      </c>
      <c r="E7" s="7" t="s">
        <v>10</v>
      </c>
      <c r="G7" s="13" t="s">
        <v>62</v>
      </c>
      <c r="H7" s="14">
        <f>MIN(C:C)</f>
        <v>10508</v>
      </c>
    </row>
    <row r="8" spans="1:8" x14ac:dyDescent="0.3">
      <c r="A8" s="5" t="s">
        <v>11</v>
      </c>
      <c r="B8" s="6">
        <v>49</v>
      </c>
      <c r="C8" s="6">
        <v>25520</v>
      </c>
      <c r="D8" s="6">
        <v>35349</v>
      </c>
      <c r="E8" s="7" t="s">
        <v>6</v>
      </c>
      <c r="G8" s="15" t="s">
        <v>63</v>
      </c>
      <c r="H8" s="14">
        <f>MAX(C:C)</f>
        <v>49788</v>
      </c>
    </row>
    <row r="9" spans="1:8" x14ac:dyDescent="0.3">
      <c r="A9" s="5" t="s">
        <v>12</v>
      </c>
      <c r="B9" s="6">
        <v>25</v>
      </c>
      <c r="C9" s="6">
        <v>12592</v>
      </c>
      <c r="D9" s="6">
        <v>196332</v>
      </c>
      <c r="E9" s="7" t="s">
        <v>13</v>
      </c>
      <c r="G9" s="13" t="s">
        <v>64</v>
      </c>
      <c r="H9" s="1">
        <f>COUNT(C:C)</f>
        <v>50</v>
      </c>
    </row>
    <row r="10" spans="1:8" x14ac:dyDescent="0.3">
      <c r="A10" s="5" t="s">
        <v>14</v>
      </c>
      <c r="B10" s="6">
        <v>60</v>
      </c>
      <c r="C10" s="6">
        <v>49788</v>
      </c>
      <c r="D10" s="6">
        <v>1693</v>
      </c>
      <c r="E10" s="7" t="s">
        <v>6</v>
      </c>
    </row>
    <row r="11" spans="1:8" ht="15.6" x14ac:dyDescent="0.3">
      <c r="A11" s="5" t="s">
        <v>15</v>
      </c>
      <c r="B11" s="6">
        <v>37</v>
      </c>
      <c r="C11" s="6">
        <v>15765</v>
      </c>
      <c r="D11" s="6">
        <v>59284</v>
      </c>
      <c r="E11" s="7" t="s">
        <v>10</v>
      </c>
      <c r="G11" s="12" t="s">
        <v>65</v>
      </c>
      <c r="H11" s="12"/>
    </row>
    <row r="12" spans="1:8" x14ac:dyDescent="0.3">
      <c r="A12" s="5" t="s">
        <v>16</v>
      </c>
      <c r="B12" s="6">
        <v>44</v>
      </c>
      <c r="C12" s="6">
        <v>40053</v>
      </c>
      <c r="D12" s="6">
        <v>53738</v>
      </c>
      <c r="E12" s="7" t="s">
        <v>10</v>
      </c>
      <c r="G12" s="16" t="s">
        <v>66</v>
      </c>
      <c r="H12" s="17" t="str">
        <f>LEFT(E6,2)</f>
        <v>Ve</v>
      </c>
    </row>
    <row r="13" spans="1:8" x14ac:dyDescent="0.3">
      <c r="A13" s="5" t="s">
        <v>17</v>
      </c>
      <c r="B13" s="6">
        <v>59</v>
      </c>
      <c r="C13" s="6">
        <v>46468</v>
      </c>
      <c r="D13" s="6">
        <v>29174</v>
      </c>
      <c r="E13" s="7" t="s">
        <v>10</v>
      </c>
      <c r="G13" s="15" t="s">
        <v>67</v>
      </c>
      <c r="H13" s="18" t="str">
        <f>RIGHT(E6,3)</f>
        <v>cle</v>
      </c>
    </row>
    <row r="14" spans="1:8" x14ac:dyDescent="0.3">
      <c r="A14" s="5" t="s">
        <v>18</v>
      </c>
      <c r="B14" s="6">
        <v>55</v>
      </c>
      <c r="C14" s="6">
        <v>42031</v>
      </c>
      <c r="D14" s="6">
        <v>100062</v>
      </c>
      <c r="E14" s="7" t="s">
        <v>10</v>
      </c>
      <c r="G14" s="13" t="s">
        <v>68</v>
      </c>
      <c r="H14" s="18" t="str">
        <f>MID(E6,2,3)</f>
        <v>ehi</v>
      </c>
    </row>
    <row r="15" spans="1:8" x14ac:dyDescent="0.3">
      <c r="A15" s="5" t="s">
        <v>19</v>
      </c>
      <c r="B15" s="6">
        <v>24</v>
      </c>
      <c r="C15" s="6">
        <v>14196</v>
      </c>
      <c r="D15" s="6">
        <v>79527</v>
      </c>
      <c r="E15" s="7" t="s">
        <v>13</v>
      </c>
      <c r="G15" s="15" t="s">
        <v>69</v>
      </c>
      <c r="H15" s="19" t="str">
        <f>_xlfn.CONCAT(A6:B6)</f>
        <v>POL100242</v>
      </c>
    </row>
    <row r="16" spans="1:8" x14ac:dyDescent="0.3">
      <c r="A16" s="5" t="s">
        <v>20</v>
      </c>
      <c r="B16" s="6">
        <v>36</v>
      </c>
      <c r="C16" s="6">
        <v>36443</v>
      </c>
      <c r="D16" s="6">
        <v>58977</v>
      </c>
      <c r="E16" s="7" t="s">
        <v>8</v>
      </c>
    </row>
    <row r="17" spans="1:8" ht="15.6" x14ac:dyDescent="0.3">
      <c r="A17" s="5" t="s">
        <v>21</v>
      </c>
      <c r="B17" s="6">
        <v>42</v>
      </c>
      <c r="C17" s="6">
        <v>12915</v>
      </c>
      <c r="D17" s="6">
        <v>178677</v>
      </c>
      <c r="E17" s="7" t="s">
        <v>6</v>
      </c>
      <c r="G17" s="12" t="s">
        <v>70</v>
      </c>
      <c r="H17" s="12"/>
    </row>
    <row r="18" spans="1:8" x14ac:dyDescent="0.3">
      <c r="A18" s="5" t="s">
        <v>22</v>
      </c>
      <c r="B18" s="6">
        <v>58</v>
      </c>
      <c r="C18" s="6">
        <v>34051</v>
      </c>
      <c r="D18" s="6">
        <v>185196</v>
      </c>
      <c r="E18" s="7" t="s">
        <v>10</v>
      </c>
      <c r="G18" s="16" t="s">
        <v>71</v>
      </c>
      <c r="H18" s="17">
        <f>AVERAGE(C:C)</f>
        <v>28563.58</v>
      </c>
    </row>
    <row r="19" spans="1:8" x14ac:dyDescent="0.3">
      <c r="A19" s="5" t="s">
        <v>23</v>
      </c>
      <c r="B19" s="6">
        <v>39</v>
      </c>
      <c r="C19" s="6">
        <v>48746</v>
      </c>
      <c r="D19" s="6">
        <v>12182</v>
      </c>
      <c r="E19" s="7" t="s">
        <v>10</v>
      </c>
      <c r="G19" s="15" t="s">
        <v>72</v>
      </c>
      <c r="H19" s="18" t="s">
        <v>94</v>
      </c>
    </row>
    <row r="20" spans="1:8" x14ac:dyDescent="0.3">
      <c r="A20" s="5" t="s">
        <v>24</v>
      </c>
      <c r="B20" s="6">
        <v>37</v>
      </c>
      <c r="C20" s="6">
        <v>10508</v>
      </c>
      <c r="D20" s="6">
        <v>77609</v>
      </c>
      <c r="E20" s="7" t="s">
        <v>13</v>
      </c>
      <c r="G20" s="13" t="s">
        <v>73</v>
      </c>
      <c r="H20" s="18">
        <f>MEDIAN(C:C)</f>
        <v>30294</v>
      </c>
    </row>
    <row r="21" spans="1:8" x14ac:dyDescent="0.3">
      <c r="A21" s="5" t="s">
        <v>25</v>
      </c>
      <c r="B21" s="6">
        <v>40</v>
      </c>
      <c r="C21" s="6">
        <v>12016</v>
      </c>
      <c r="D21" s="6">
        <v>0</v>
      </c>
      <c r="E21" s="7" t="s">
        <v>13</v>
      </c>
      <c r="G21" s="15" t="s">
        <v>74</v>
      </c>
      <c r="H21" s="18">
        <f>_xlfn.STDEV.P(C:C)</f>
        <v>12504.871532470856</v>
      </c>
    </row>
    <row r="22" spans="1:8" x14ac:dyDescent="0.3">
      <c r="A22" s="5" t="s">
        <v>26</v>
      </c>
      <c r="B22" s="6">
        <v>29</v>
      </c>
      <c r="C22" s="6">
        <v>42844</v>
      </c>
      <c r="D22" s="6">
        <v>95372</v>
      </c>
      <c r="E22" s="7" t="s">
        <v>13</v>
      </c>
      <c r="G22" s="13" t="s">
        <v>75</v>
      </c>
      <c r="H22" s="19">
        <f>CORREL(B:B,D:D)</f>
        <v>-7.0368318910138894E-2</v>
      </c>
    </row>
    <row r="23" spans="1:8" x14ac:dyDescent="0.3">
      <c r="A23" s="5" t="s">
        <v>27</v>
      </c>
      <c r="B23" s="6">
        <v>26</v>
      </c>
      <c r="C23" s="6">
        <v>48917</v>
      </c>
      <c r="D23" s="6">
        <v>0</v>
      </c>
      <c r="E23" s="7" t="s">
        <v>13</v>
      </c>
    </row>
    <row r="24" spans="1:8" ht="15.6" x14ac:dyDescent="0.3">
      <c r="A24" s="5" t="s">
        <v>28</v>
      </c>
      <c r="B24" s="6">
        <v>34</v>
      </c>
      <c r="C24" s="6">
        <v>15341</v>
      </c>
      <c r="D24" s="6">
        <v>0</v>
      </c>
      <c r="E24" s="7" t="s">
        <v>8</v>
      </c>
      <c r="G24" s="12" t="s">
        <v>76</v>
      </c>
      <c r="H24" s="12"/>
    </row>
    <row r="25" spans="1:8" x14ac:dyDescent="0.3">
      <c r="A25" s="5" t="s">
        <v>29</v>
      </c>
      <c r="B25" s="6">
        <v>39</v>
      </c>
      <c r="C25" s="6">
        <v>34195</v>
      </c>
      <c r="D25" s="6">
        <v>100700</v>
      </c>
      <c r="E25" s="7" t="s">
        <v>10</v>
      </c>
      <c r="G25" s="16" t="s">
        <v>77</v>
      </c>
      <c r="H25" s="17" t="str">
        <f>VLOOKUP(A6,A5:E53,5,FALSE)</f>
        <v>Vehicle</v>
      </c>
    </row>
    <row r="26" spans="1:8" x14ac:dyDescent="0.3">
      <c r="A26" s="5" t="s">
        <v>30</v>
      </c>
      <c r="B26" s="6">
        <v>59</v>
      </c>
      <c r="C26" s="6">
        <v>41949</v>
      </c>
      <c r="D26" s="6">
        <v>38976</v>
      </c>
      <c r="E26" s="7" t="s">
        <v>13</v>
      </c>
      <c r="G26" s="15" t="s">
        <v>78</v>
      </c>
      <c r="H26" s="18" t="str">
        <f>HLOOKUP(A5,A5:E53,3,FALSE)</f>
        <v>POL1003</v>
      </c>
    </row>
    <row r="27" spans="1:8" x14ac:dyDescent="0.3">
      <c r="A27" s="5" t="s">
        <v>31</v>
      </c>
      <c r="B27" s="6">
        <v>28</v>
      </c>
      <c r="C27" s="6">
        <v>34134</v>
      </c>
      <c r="D27" s="6">
        <v>119549</v>
      </c>
      <c r="E27" s="7" t="s">
        <v>13</v>
      </c>
      <c r="G27" s="13" t="s">
        <v>79</v>
      </c>
      <c r="H27" s="19" t="str">
        <f>VLOOKUP(A8,A8:E37,5,FALSE)</f>
        <v>Home</v>
      </c>
    </row>
    <row r="28" spans="1:8" x14ac:dyDescent="0.3">
      <c r="A28" s="5" t="s">
        <v>32</v>
      </c>
      <c r="B28" s="6">
        <v>37</v>
      </c>
      <c r="C28" s="6">
        <v>16086</v>
      </c>
      <c r="D28" s="6">
        <v>3400</v>
      </c>
      <c r="E28" s="7" t="s">
        <v>8</v>
      </c>
    </row>
    <row r="29" spans="1:8" ht="15.6" x14ac:dyDescent="0.3">
      <c r="A29" s="5" t="s">
        <v>33</v>
      </c>
      <c r="B29" s="6">
        <v>46</v>
      </c>
      <c r="C29" s="6">
        <v>33192</v>
      </c>
      <c r="D29" s="6">
        <v>108808</v>
      </c>
      <c r="E29" s="7" t="s">
        <v>8</v>
      </c>
      <c r="G29" s="12" t="s">
        <v>84</v>
      </c>
      <c r="H29" s="12"/>
    </row>
    <row r="30" spans="1:8" x14ac:dyDescent="0.3">
      <c r="A30" s="5" t="s">
        <v>34</v>
      </c>
      <c r="B30" s="6">
        <v>49</v>
      </c>
      <c r="C30" s="6">
        <v>11232</v>
      </c>
      <c r="D30" s="6">
        <v>186682</v>
      </c>
      <c r="E30" s="7" t="s">
        <v>8</v>
      </c>
      <c r="G30" s="13" t="s">
        <v>85</v>
      </c>
      <c r="H30" s="17" t="str">
        <f>IF(C6&gt;6000,"MINIMUM")</f>
        <v>MINIMUM</v>
      </c>
    </row>
    <row r="31" spans="1:8" x14ac:dyDescent="0.3">
      <c r="A31" s="5" t="s">
        <v>35</v>
      </c>
      <c r="B31" s="6">
        <v>29</v>
      </c>
      <c r="C31" s="6">
        <v>18524</v>
      </c>
      <c r="D31" s="6">
        <v>0</v>
      </c>
      <c r="E31" s="7" t="s">
        <v>13</v>
      </c>
      <c r="G31" s="15" t="s">
        <v>86</v>
      </c>
      <c r="H31" s="14" t="b">
        <f>OR(C6&gt;26000,"TURE")</f>
        <v>0</v>
      </c>
    </row>
    <row r="32" spans="1:8" x14ac:dyDescent="0.3">
      <c r="A32" s="5" t="s">
        <v>36</v>
      </c>
      <c r="B32" s="6">
        <v>22</v>
      </c>
      <c r="C32" s="6">
        <v>22294</v>
      </c>
      <c r="D32" s="6">
        <v>20636</v>
      </c>
      <c r="E32" s="7" t="s">
        <v>13</v>
      </c>
      <c r="G32" s="13" t="s">
        <v>87</v>
      </c>
      <c r="H32" s="1" t="b">
        <f>AND(C6&gt;700,"TURE")</f>
        <v>1</v>
      </c>
    </row>
    <row r="33" spans="1:8" x14ac:dyDescent="0.3">
      <c r="A33" s="5" t="s">
        <v>37</v>
      </c>
      <c r="B33" s="6">
        <v>21</v>
      </c>
      <c r="C33" s="6">
        <v>30589</v>
      </c>
      <c r="D33" s="6">
        <v>0</v>
      </c>
      <c r="E33" s="7" t="s">
        <v>8</v>
      </c>
    </row>
    <row r="34" spans="1:8" ht="15.6" x14ac:dyDescent="0.3">
      <c r="A34" s="5" t="s">
        <v>38</v>
      </c>
      <c r="B34" s="6">
        <v>22</v>
      </c>
      <c r="C34" s="6">
        <v>23022</v>
      </c>
      <c r="D34" s="6">
        <v>121443</v>
      </c>
      <c r="E34" s="7" t="s">
        <v>6</v>
      </c>
      <c r="G34" s="12" t="s">
        <v>80</v>
      </c>
      <c r="H34" s="12"/>
    </row>
    <row r="35" spans="1:8" x14ac:dyDescent="0.3">
      <c r="A35" s="5" t="s">
        <v>39</v>
      </c>
      <c r="B35" s="6">
        <v>52</v>
      </c>
      <c r="C35" s="6">
        <v>16906</v>
      </c>
      <c r="D35" s="6">
        <v>192283</v>
      </c>
      <c r="E35" s="7" t="s">
        <v>8</v>
      </c>
      <c r="G35" s="16" t="s">
        <v>81</v>
      </c>
      <c r="H35" s="21">
        <f ca="1">TODAY()</f>
        <v>46069</v>
      </c>
    </row>
    <row r="36" spans="1:8" x14ac:dyDescent="0.3">
      <c r="A36" s="5" t="s">
        <v>40</v>
      </c>
      <c r="B36" s="6">
        <v>38</v>
      </c>
      <c r="C36" s="6">
        <v>47368</v>
      </c>
      <c r="D36" s="6">
        <v>18932</v>
      </c>
      <c r="E36" s="7" t="s">
        <v>10</v>
      </c>
      <c r="G36" s="20" t="s">
        <v>82</v>
      </c>
      <c r="H36" s="22">
        <f ca="1">NOW()</f>
        <v>46069.869003356478</v>
      </c>
    </row>
    <row r="37" spans="1:8" x14ac:dyDescent="0.3">
      <c r="A37" s="5" t="s">
        <v>41</v>
      </c>
      <c r="B37" s="6">
        <v>27</v>
      </c>
      <c r="C37" s="6">
        <v>31373</v>
      </c>
      <c r="D37" s="6">
        <v>168855</v>
      </c>
      <c r="E37" s="7" t="s">
        <v>8</v>
      </c>
      <c r="G37" s="16" t="s">
        <v>83</v>
      </c>
      <c r="H37" s="19">
        <f ca="1">DAY(H35)</f>
        <v>16</v>
      </c>
    </row>
    <row r="38" spans="1:8" x14ac:dyDescent="0.3">
      <c r="A38" s="5" t="s">
        <v>42</v>
      </c>
      <c r="B38" s="6">
        <v>59</v>
      </c>
      <c r="C38" s="6">
        <v>19884</v>
      </c>
      <c r="D38" s="6">
        <v>143151</v>
      </c>
      <c r="E38" s="7" t="s">
        <v>10</v>
      </c>
    </row>
    <row r="39" spans="1:8" ht="15.6" x14ac:dyDescent="0.3">
      <c r="A39" s="5" t="s">
        <v>43</v>
      </c>
      <c r="B39" s="6">
        <v>49</v>
      </c>
      <c r="C39" s="6">
        <v>41909</v>
      </c>
      <c r="D39" s="6">
        <v>82536</v>
      </c>
      <c r="E39" s="7" t="s">
        <v>13</v>
      </c>
      <c r="G39" s="11" t="s">
        <v>88</v>
      </c>
      <c r="H39" s="12"/>
    </row>
    <row r="40" spans="1:8" x14ac:dyDescent="0.3">
      <c r="A40" s="5" t="s">
        <v>44</v>
      </c>
      <c r="B40" s="6">
        <v>59</v>
      </c>
      <c r="C40" s="6">
        <v>27538</v>
      </c>
      <c r="D40" s="6">
        <v>31045</v>
      </c>
      <c r="E40" s="7" t="s">
        <v>13</v>
      </c>
      <c r="G40" s="23" t="s">
        <v>89</v>
      </c>
      <c r="H40" s="24">
        <f>PMT(5%/12,60,C25)</f>
        <v>-645.30183445695388</v>
      </c>
    </row>
    <row r="41" spans="1:8" x14ac:dyDescent="0.3">
      <c r="A41" s="5" t="s">
        <v>45</v>
      </c>
      <c r="B41" s="6">
        <v>45</v>
      </c>
      <c r="C41" s="6">
        <v>29010</v>
      </c>
      <c r="D41" s="6">
        <v>179546</v>
      </c>
      <c r="E41" s="7" t="s">
        <v>6</v>
      </c>
      <c r="G41" s="25" t="s">
        <v>90</v>
      </c>
      <c r="H41" s="24">
        <f>NPV(5%,C:C)</f>
        <v>531007.04160688911</v>
      </c>
    </row>
    <row r="42" spans="1:8" x14ac:dyDescent="0.3">
      <c r="A42" s="5" t="s">
        <v>46</v>
      </c>
      <c r="B42" s="6">
        <v>51</v>
      </c>
      <c r="C42" s="6">
        <v>20882</v>
      </c>
      <c r="D42" s="6">
        <v>0</v>
      </c>
      <c r="E42" s="7" t="s">
        <v>8</v>
      </c>
    </row>
    <row r="43" spans="1:8" x14ac:dyDescent="0.3">
      <c r="A43" s="5" t="s">
        <v>47</v>
      </c>
      <c r="B43" s="6">
        <v>35</v>
      </c>
      <c r="C43" s="6">
        <v>44401</v>
      </c>
      <c r="D43" s="6">
        <v>192505</v>
      </c>
      <c r="E43" s="7" t="s">
        <v>8</v>
      </c>
      <c r="G43" s="26" t="s">
        <v>91</v>
      </c>
      <c r="H43" s="6" t="s">
        <v>93</v>
      </c>
    </row>
    <row r="44" spans="1:8" x14ac:dyDescent="0.3">
      <c r="A44" s="5" t="s">
        <v>48</v>
      </c>
      <c r="B44" s="6">
        <v>36</v>
      </c>
      <c r="C44" s="6">
        <v>11061</v>
      </c>
      <c r="D44" s="6">
        <v>50625</v>
      </c>
      <c r="E44" s="7" t="s">
        <v>8</v>
      </c>
      <c r="G44" s="6" t="s">
        <v>13</v>
      </c>
      <c r="H44" s="6">
        <v>375851</v>
      </c>
    </row>
    <row r="45" spans="1:8" x14ac:dyDescent="0.3">
      <c r="A45" s="5" t="s">
        <v>49</v>
      </c>
      <c r="B45" s="6">
        <v>50</v>
      </c>
      <c r="C45" s="6">
        <v>38348</v>
      </c>
      <c r="D45" s="6">
        <v>0</v>
      </c>
      <c r="E45" s="7" t="s">
        <v>10</v>
      </c>
      <c r="G45" s="6" t="s">
        <v>6</v>
      </c>
      <c r="H45" s="6">
        <v>260311</v>
      </c>
    </row>
    <row r="46" spans="1:8" x14ac:dyDescent="0.3">
      <c r="A46" s="5" t="s">
        <v>50</v>
      </c>
      <c r="B46" s="6">
        <v>36</v>
      </c>
      <c r="C46" s="6">
        <v>46403</v>
      </c>
      <c r="D46" s="6">
        <v>50196</v>
      </c>
      <c r="E46" s="7" t="s">
        <v>6</v>
      </c>
      <c r="G46" s="6" t="s">
        <v>10</v>
      </c>
      <c r="H46" s="6">
        <v>499671</v>
      </c>
    </row>
    <row r="47" spans="1:8" x14ac:dyDescent="0.3">
      <c r="A47" s="5" t="s">
        <v>51</v>
      </c>
      <c r="B47" s="6">
        <v>46</v>
      </c>
      <c r="C47" s="6">
        <v>34494</v>
      </c>
      <c r="D47" s="6">
        <v>0</v>
      </c>
      <c r="E47" s="7" t="s">
        <v>10</v>
      </c>
      <c r="G47" s="6" t="s">
        <v>8</v>
      </c>
      <c r="H47" s="6">
        <v>292346</v>
      </c>
    </row>
    <row r="48" spans="1:8" x14ac:dyDescent="0.3">
      <c r="A48" s="5" t="s">
        <v>52</v>
      </c>
      <c r="B48" s="6">
        <v>41</v>
      </c>
      <c r="C48" s="6">
        <v>35321</v>
      </c>
      <c r="D48" s="6">
        <v>149522</v>
      </c>
      <c r="E48" s="7" t="s">
        <v>10</v>
      </c>
      <c r="G48" s="6" t="s">
        <v>92</v>
      </c>
      <c r="H48" s="6">
        <v>1428179</v>
      </c>
    </row>
    <row r="49" spans="1:5" x14ac:dyDescent="0.3">
      <c r="A49" s="5" t="s">
        <v>53</v>
      </c>
      <c r="B49" s="6">
        <v>36</v>
      </c>
      <c r="C49" s="6">
        <v>29999</v>
      </c>
      <c r="D49" s="6">
        <v>34250</v>
      </c>
      <c r="E49" s="7" t="s">
        <v>10</v>
      </c>
    </row>
    <row r="50" spans="1:5" x14ac:dyDescent="0.3">
      <c r="A50" s="5" t="s">
        <v>54</v>
      </c>
      <c r="B50" s="6">
        <v>32</v>
      </c>
      <c r="C50" s="6">
        <v>35871</v>
      </c>
      <c r="D50" s="6">
        <v>101182</v>
      </c>
      <c r="E50" s="7" t="s">
        <v>13</v>
      </c>
    </row>
    <row r="51" spans="1:5" x14ac:dyDescent="0.3">
      <c r="A51" s="5" t="s">
        <v>55</v>
      </c>
      <c r="B51" s="6">
        <v>57</v>
      </c>
      <c r="C51" s="6">
        <v>12559</v>
      </c>
      <c r="D51" s="6">
        <v>15805</v>
      </c>
      <c r="E51" s="7" t="s">
        <v>13</v>
      </c>
    </row>
    <row r="52" spans="1:5" x14ac:dyDescent="0.3">
      <c r="A52" s="5" t="s">
        <v>56</v>
      </c>
      <c r="B52" s="6">
        <v>31</v>
      </c>
      <c r="C52" s="6">
        <v>14971</v>
      </c>
      <c r="D52" s="6">
        <v>108534</v>
      </c>
      <c r="E52" s="7" t="s">
        <v>6</v>
      </c>
    </row>
    <row r="53" spans="1:5" x14ac:dyDescent="0.3">
      <c r="A53" s="5" t="s">
        <v>57</v>
      </c>
      <c r="B53" s="6">
        <v>54</v>
      </c>
      <c r="C53" s="6">
        <v>20210</v>
      </c>
      <c r="D53" s="6">
        <v>0</v>
      </c>
      <c r="E53" s="7" t="s">
        <v>6</v>
      </c>
    </row>
    <row r="54" spans="1:5" x14ac:dyDescent="0.3">
      <c r="A54" s="8" t="s">
        <v>58</v>
      </c>
      <c r="B54" s="9">
        <v>23</v>
      </c>
      <c r="C54" s="9">
        <v>12701</v>
      </c>
      <c r="D54" s="9">
        <v>171638</v>
      </c>
      <c r="E54" s="10" t="s">
        <v>8</v>
      </c>
    </row>
  </sheetData>
  <pageMargins left="0.75" right="0.75" top="1" bottom="1" header="0.5" footer="0.5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adya yawalikar</cp:lastModifiedBy>
  <dcterms:created xsi:type="dcterms:W3CDTF">2026-02-16T13:55:04Z</dcterms:created>
  <dcterms:modified xsi:type="dcterms:W3CDTF">2026-02-16T15:21:25Z</dcterms:modified>
</cp:coreProperties>
</file>