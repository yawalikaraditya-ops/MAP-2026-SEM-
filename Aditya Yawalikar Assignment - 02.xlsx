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75DCFAAB-8FFE-4075-9476-611C8413282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3" r:id="rId1"/>
    <sheet name="Sheet2" sheetId="4" r:id="rId2"/>
    <sheet name="Survey_Data" sheetId="1" r:id="rId3"/>
    <sheet name="Analysis" sheetId="2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B9" i="2"/>
  <c r="E8" i="2"/>
  <c r="B8" i="2"/>
  <c r="E7" i="2"/>
  <c r="B7" i="2"/>
  <c r="B4" i="2"/>
  <c r="E3" i="2"/>
  <c r="B3" i="2"/>
  <c r="E2" i="2"/>
  <c r="B2" i="2"/>
</calcChain>
</file>

<file path=xl/sharedStrings.xml><?xml version="1.0" encoding="utf-8"?>
<sst xmlns="http://schemas.openxmlformats.org/spreadsheetml/2006/main" count="181" uniqueCount="33">
  <si>
    <t>Respondent ID</t>
  </si>
  <si>
    <t>Age Group</t>
  </si>
  <si>
    <t>Gender</t>
  </si>
  <si>
    <t>City</t>
  </si>
  <si>
    <t>Product Awareness</t>
  </si>
  <si>
    <t>Purchase Frequency</t>
  </si>
  <si>
    <t>Satisfaction Rating</t>
  </si>
  <si>
    <t>Recommend to Others</t>
  </si>
  <si>
    <t>18–25</t>
  </si>
  <si>
    <t>Male</t>
  </si>
  <si>
    <t>Metro</t>
  </si>
  <si>
    <t>Yes</t>
  </si>
  <si>
    <t>Frequent</t>
  </si>
  <si>
    <t>26–35</t>
  </si>
  <si>
    <t>Female</t>
  </si>
  <si>
    <t>Occasional</t>
  </si>
  <si>
    <t>36–45</t>
  </si>
  <si>
    <t>Non-Metro</t>
  </si>
  <si>
    <t>No</t>
  </si>
  <si>
    <t>Rare</t>
  </si>
  <si>
    <t>46+</t>
  </si>
  <si>
    <t>Other</t>
  </si>
  <si>
    <t>Metric</t>
  </si>
  <si>
    <t>Value</t>
  </si>
  <si>
    <t>Percentage Aware</t>
  </si>
  <si>
    <t>Satisfied Customers % (Rating ≥4)</t>
  </si>
  <si>
    <t>Recommendation Rate %</t>
  </si>
  <si>
    <t>Count</t>
  </si>
  <si>
    <t>Avg Satisfaction</t>
  </si>
  <si>
    <t>Market Survey &amp; Customer Insights Analysis</t>
  </si>
  <si>
    <t xml:space="preserve">           "Market Survey &amp; Customer Insights Analysis"</t>
  </si>
  <si>
    <t>Count of Purchase Frequency</t>
  </si>
  <si>
    <t>Pivot Table &amp;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</si>
</sst>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22"/>
      <color theme="1"/>
      <name val="Arial Rounded MT Bold"/>
      <family val="2"/>
    </font>
    <font>
      <b/>
      <sz val="12"/>
      <color theme="1"/>
      <name val="Castellar"/>
      <family val="1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/>
    <xf numFmtId="0" fontId="1" fillId="0" borderId="0" xfId="0" applyFont="1"/>
    <xf numFmtId="0" fontId="2" fillId="2" borderId="0" xfId="0" applyFont="1" applyFill="1" applyAlignment="1"/>
    <xf numFmtId="0" fontId="3" fillId="2" borderId="0" xfId="0" applyFont="1" applyFill="1" applyAlignment="1"/>
    <xf numFmtId="0" fontId="1" fillId="2" borderId="0" xfId="0" applyFont="1" applyFill="1"/>
    <xf numFmtId="0" fontId="4" fillId="2" borderId="0" xfId="0" applyFont="1" applyFill="1"/>
    <xf numFmtId="0" fontId="0" fillId="2" borderId="0" xfId="0" applyFill="1"/>
    <xf numFmtId="0" fontId="0" fillId="0" borderId="0" xfId="0" applyNumberFormat="1"/>
    <xf numFmtId="0" fontId="0" fillId="3" borderId="0" xfId="0" applyFill="1"/>
    <xf numFmtId="0" fontId="5" fillId="3" borderId="0" xfId="0" applyFont="1" applyFill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[Aditya Yawalikar Assignment - 02.xlsx]Sheet2!PivotTable2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8-4614-8498-C03C49220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7928032"/>
        <c:axId val="348327536"/>
      </c:barChart>
      <c:catAx>
        <c:axId val="26792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27536"/>
        <c:crosses val="autoZero"/>
        <c:auto val="1"/>
        <c:lblAlgn val="ctr"/>
        <c:lblOffset val="100"/>
        <c:noMultiLvlLbl val="0"/>
      </c:catAx>
      <c:valAx>
        <c:axId val="34832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2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Frequency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87037037037037E-2"/>
          <c:y val="6.5851851851851856E-2"/>
          <c:w val="0.94825925925925925"/>
          <c:h val="0.73154370370370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Analysis!$B$6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C1-49E8-B2CC-8C1B1F6979E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C1-49E8-B2CC-8C1B1F6979E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C1-49E8-B2CC-8C1B1F6979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Analysis!$A$7:$A$9</c:f>
              <c:strCache>
                <c:ptCount val="3"/>
                <c:pt idx="0">
                  <c:v>Rare</c:v>
                </c:pt>
                <c:pt idx="1">
                  <c:v>Occasional</c:v>
                </c:pt>
                <c:pt idx="2">
                  <c:v>Frequent</c:v>
                </c:pt>
              </c:strCache>
            </c:strRef>
          </c:cat>
          <c:val>
            <c:numRef>
              <c:f>Analysis!$B$7:$B$9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C1-49E8-B2CC-8C1B1F6979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Recommendation Rate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36574074074073"/>
          <c:y val="0"/>
          <c:w val="0.54092592592592592"/>
          <c:h val="0.91269841269841268"/>
        </c:manualLayout>
      </c:layout>
      <c:pieChart>
        <c:varyColors val="1"/>
        <c:ser>
          <c:idx val="0"/>
          <c:order val="0"/>
          <c:explosion val="49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6C-4BCE-BB35-4CEBE6B64AF5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6C-4BCE-BB35-4CEBE6B64AF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Analysis!$D$2:$D$3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Analysis!$E$2:$E$3</c:f>
              <c:numCache>
                <c:formatCode>General</c:formatCode>
                <c:ptCount val="2"/>
                <c:pt idx="0">
                  <c:v>16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6C-4BCE-BB35-4CEBE6B64AF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7</xdr:row>
      <xdr:rowOff>156210</xdr:rowOff>
    </xdr:from>
    <xdr:to>
      <xdr:col>12</xdr:col>
      <xdr:colOff>137160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1A0B1-5D2D-4FAA-8382-DAE3588AC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708660</xdr:colOff>
      <xdr:row>30</xdr:row>
      <xdr:rowOff>175260</xdr:rowOff>
    </xdr:from>
    <xdr:ext cx="5935980" cy="29260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8A770A-796F-481F-B54F-2CE0D83C2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30</xdr:row>
      <xdr:rowOff>167640</xdr:rowOff>
    </xdr:from>
    <xdr:ext cx="4617720" cy="29337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275FF6-31F4-453A-A2C1-A8F99FB13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3.883650347219" createdVersion="7" refreshedVersion="7" minRefreshableVersion="3" recordCount="25" xr:uid="{93D1EA94-C90E-4F74-B650-3A97F4FA0A7B}">
  <cacheSource type="worksheet">
    <worksheetSource name="Table1"/>
  </cacheSource>
  <cacheFields count="8">
    <cacheField name="Respondent ID" numFmtId="0">
      <sharedItems containsSemiMixedTypes="0" containsString="0" containsNumber="1" containsInteger="1" minValue="1" maxValue="25"/>
    </cacheField>
    <cacheField name="Age Group" numFmtId="0">
      <sharedItems/>
    </cacheField>
    <cacheField name="Gender" numFmtId="0">
      <sharedItems/>
    </cacheField>
    <cacheField name="City" numFmtId="0">
      <sharedItems/>
    </cacheField>
    <cacheField name="Product Awareness" numFmtId="0">
      <sharedItems/>
    </cacheField>
    <cacheField name="Purchase Frequency" numFmtId="0">
      <sharedItems count="3">
        <s v="Frequent"/>
        <s v="Occasional"/>
        <s v="Rare"/>
      </sharedItems>
    </cacheField>
    <cacheField name="Satisfaction Rating" numFmtId="0">
      <sharedItems containsSemiMixedTypes="0" containsString="0" containsNumber="1" containsInteger="1" minValue="2" maxValue="5"/>
    </cacheField>
    <cacheField name="Recommend to Other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s v="18–25"/>
    <s v="Male"/>
    <s v="Metro"/>
    <s v="Yes"/>
    <x v="0"/>
    <n v="5"/>
    <s v="Yes"/>
  </r>
  <r>
    <n v="2"/>
    <s v="26–35"/>
    <s v="Female"/>
    <s v="Metro"/>
    <s v="Yes"/>
    <x v="1"/>
    <n v="4"/>
    <s v="Yes"/>
  </r>
  <r>
    <n v="3"/>
    <s v="36–45"/>
    <s v="Male"/>
    <s v="Non-Metro"/>
    <s v="No"/>
    <x v="2"/>
    <n v="3"/>
    <s v="No"/>
  </r>
  <r>
    <n v="4"/>
    <s v="46+"/>
    <s v="Female"/>
    <s v="Metro"/>
    <s v="Yes"/>
    <x v="1"/>
    <n v="4"/>
    <s v="Yes"/>
  </r>
  <r>
    <n v="5"/>
    <s v="18–25"/>
    <s v="Female"/>
    <s v="Non-Metro"/>
    <s v="Yes"/>
    <x v="0"/>
    <n v="5"/>
    <s v="Yes"/>
  </r>
  <r>
    <n v="6"/>
    <s v="26–35"/>
    <s v="Male"/>
    <s v="Metro"/>
    <s v="No"/>
    <x v="2"/>
    <n v="2"/>
    <s v="No"/>
  </r>
  <r>
    <n v="7"/>
    <s v="36–45"/>
    <s v="Female"/>
    <s v="Metro"/>
    <s v="Yes"/>
    <x v="1"/>
    <n v="4"/>
    <s v="Yes"/>
  </r>
  <r>
    <n v="8"/>
    <s v="46+"/>
    <s v="Male"/>
    <s v="Non-Metro"/>
    <s v="No"/>
    <x v="2"/>
    <n v="3"/>
    <s v="No"/>
  </r>
  <r>
    <n v="9"/>
    <s v="18–25"/>
    <s v="Other"/>
    <s v="Metro"/>
    <s v="Yes"/>
    <x v="0"/>
    <n v="5"/>
    <s v="Yes"/>
  </r>
  <r>
    <n v="10"/>
    <s v="26–35"/>
    <s v="Female"/>
    <s v="Non-Metro"/>
    <s v="Yes"/>
    <x v="1"/>
    <n v="4"/>
    <s v="Yes"/>
  </r>
  <r>
    <n v="11"/>
    <s v="36–45"/>
    <s v="Male"/>
    <s v="Metro"/>
    <s v="Yes"/>
    <x v="2"/>
    <n v="3"/>
    <s v="No"/>
  </r>
  <r>
    <n v="12"/>
    <s v="46+"/>
    <s v="Female"/>
    <s v="Metro"/>
    <s v="No"/>
    <x v="2"/>
    <n v="2"/>
    <s v="No"/>
  </r>
  <r>
    <n v="13"/>
    <s v="18–25"/>
    <s v="Male"/>
    <s v="Metro"/>
    <s v="Yes"/>
    <x v="0"/>
    <n v="5"/>
    <s v="Yes"/>
  </r>
  <r>
    <n v="14"/>
    <s v="26–35"/>
    <s v="Female"/>
    <s v="Metro"/>
    <s v="Yes"/>
    <x v="1"/>
    <n v="4"/>
    <s v="Yes"/>
  </r>
  <r>
    <n v="15"/>
    <s v="36–45"/>
    <s v="Male"/>
    <s v="Non-Metro"/>
    <s v="No"/>
    <x v="2"/>
    <n v="3"/>
    <s v="No"/>
  </r>
  <r>
    <n v="16"/>
    <s v="46+"/>
    <s v="Female"/>
    <s v="Metro"/>
    <s v="Yes"/>
    <x v="1"/>
    <n v="4"/>
    <s v="Yes"/>
  </r>
  <r>
    <n v="17"/>
    <s v="18–25"/>
    <s v="Female"/>
    <s v="Metro"/>
    <s v="Yes"/>
    <x v="0"/>
    <n v="5"/>
    <s v="Yes"/>
  </r>
  <r>
    <n v="18"/>
    <s v="26–35"/>
    <s v="Male"/>
    <s v="Non-Metro"/>
    <s v="No"/>
    <x v="2"/>
    <n v="2"/>
    <s v="No"/>
  </r>
  <r>
    <n v="19"/>
    <s v="36–45"/>
    <s v="Female"/>
    <s v="Metro"/>
    <s v="Yes"/>
    <x v="1"/>
    <n v="4"/>
    <s v="Yes"/>
  </r>
  <r>
    <n v="20"/>
    <s v="46+"/>
    <s v="Male"/>
    <s v="Metro"/>
    <s v="Yes"/>
    <x v="2"/>
    <n v="3"/>
    <s v="No"/>
  </r>
  <r>
    <n v="21"/>
    <s v="18–25"/>
    <s v="Male"/>
    <s v="Metro"/>
    <s v="Yes"/>
    <x v="0"/>
    <n v="5"/>
    <s v="Yes"/>
  </r>
  <r>
    <n v="22"/>
    <s v="26–35"/>
    <s v="Female"/>
    <s v="Metro"/>
    <s v="Yes"/>
    <x v="1"/>
    <n v="4"/>
    <s v="Yes"/>
  </r>
  <r>
    <n v="23"/>
    <s v="36–45"/>
    <s v="Male"/>
    <s v="Non-Metro"/>
    <s v="No"/>
    <x v="2"/>
    <n v="3"/>
    <s v="No"/>
  </r>
  <r>
    <n v="24"/>
    <s v="46+"/>
    <s v="Female"/>
    <s v="Metro"/>
    <s v="Yes"/>
    <x v="1"/>
    <n v="4"/>
    <s v="Yes"/>
  </r>
  <r>
    <n v="25"/>
    <s v="18–25"/>
    <s v="Female"/>
    <s v="Metro"/>
    <s v="Yes"/>
    <x v="0"/>
    <n v="5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AEA5F-87B1-44D2-B33D-2C9386868F84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A4" firstHeaderRow="1" firstDataRow="1" firstDataCol="0"/>
  <pivotFields count="8"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ount of Purchase Frequency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BF197-4C19-4ACC-9427-2C4C08626CA1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A4" firstHeaderRow="1" firstDataRow="1" firstDataCol="0"/>
  <pivotFields count="8"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ount of Purchase Frequency" fld="5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61D17-0CD9-4953-B51F-0854E9896428}" name="Table1" displayName="Table1" ref="A4:H29" totalsRowShown="0" headerRowDxfId="1" dataDxfId="0" headerRowBorderDxfId="11" tableBorderDxfId="12" totalsRowBorderDxfId="10">
  <autoFilter ref="A4:H29" xr:uid="{32E61D17-0CD9-4953-B51F-0854E98964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F978FDD-BC62-4DAE-8054-547CB28B690A}" name="Respondent ID" dataDxfId="9"/>
    <tableColumn id="2" xr3:uid="{401F7395-F966-4ACE-A022-B84AC3ECCC85}" name="Age Group" dataDxfId="8"/>
    <tableColumn id="3" xr3:uid="{7F9B1D0D-3B66-4D50-AE62-734B95D7F1C9}" name="Gender" dataDxfId="7"/>
    <tableColumn id="4" xr3:uid="{57B24E79-55F1-402C-A9C3-B0CD2D41A9B7}" name="City" dataDxfId="6"/>
    <tableColumn id="5" xr3:uid="{9E25A225-42ED-4A02-AB39-AD0C4A5316CD}" name="Product Awareness" dataDxfId="5"/>
    <tableColumn id="6" xr3:uid="{3CE5715F-184F-4837-8F99-27ADD0796C4B}" name="Purchase Frequency" dataDxfId="4"/>
    <tableColumn id="7" xr3:uid="{E8FF5469-7A52-4554-A4A5-4AF32A5F4C50}" name="Satisfaction Rating" dataDxfId="3"/>
    <tableColumn id="8" xr3:uid="{9AF1A799-4098-41C7-BD14-C1B761809B48}" name="Recommend to Others" dataDxfId="2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4678-6208-4A00-BA37-D5EB43E4F4F5}">
  <dimension ref="A3:A4"/>
  <sheetViews>
    <sheetView workbookViewId="0">
      <selection activeCell="A3" sqref="A3"/>
    </sheetView>
  </sheetViews>
  <sheetFormatPr defaultRowHeight="14.4" x14ac:dyDescent="0.3"/>
  <cols>
    <col min="1" max="1" width="26.109375" bestFit="1" customWidth="1"/>
  </cols>
  <sheetData>
    <row r="3" spans="1:1" x14ac:dyDescent="0.3">
      <c r="A3" t="s">
        <v>31</v>
      </c>
    </row>
    <row r="4" spans="1:1" x14ac:dyDescent="0.3">
      <c r="A4" s="1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60B9-C8C0-481B-8115-F5B92FAA0525}">
  <dimension ref="A3:A4"/>
  <sheetViews>
    <sheetView workbookViewId="0">
      <selection activeCell="A3" sqref="A3"/>
    </sheetView>
  </sheetViews>
  <sheetFormatPr defaultRowHeight="14.4" x14ac:dyDescent="0.3"/>
  <cols>
    <col min="1" max="1" width="26.109375" bestFit="1" customWidth="1"/>
    <col min="2" max="2" width="6.33203125" bestFit="1" customWidth="1"/>
    <col min="3" max="3" width="15.5546875" bestFit="1" customWidth="1"/>
    <col min="4" max="4" width="10.77734375" bestFit="1" customWidth="1"/>
  </cols>
  <sheetData>
    <row r="3" spans="1:1" x14ac:dyDescent="0.3">
      <c r="A3" t="s">
        <v>31</v>
      </c>
    </row>
    <row r="4" spans="1:1" x14ac:dyDescent="0.3">
      <c r="A4" s="17">
        <v>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K43" sqref="K43"/>
    </sheetView>
  </sheetViews>
  <sheetFormatPr defaultRowHeight="14.4" x14ac:dyDescent="0.3"/>
  <cols>
    <col min="1" max="4" width="18" customWidth="1"/>
    <col min="5" max="5" width="19" customWidth="1"/>
    <col min="6" max="6" width="19.77734375" customWidth="1"/>
    <col min="7" max="7" width="18.44140625" customWidth="1"/>
    <col min="8" max="8" width="21.77734375" customWidth="1"/>
  </cols>
  <sheetData>
    <row r="1" spans="1:8" s="10" customFormat="1" ht="34.950000000000003" customHeight="1" x14ac:dyDescent="0.45">
      <c r="A1" s="12"/>
      <c r="B1" s="12"/>
      <c r="C1" s="13" t="s">
        <v>29</v>
      </c>
      <c r="D1" s="12"/>
      <c r="E1" s="12"/>
      <c r="F1" s="12"/>
      <c r="G1" s="12"/>
      <c r="H1" s="12"/>
    </row>
    <row r="2" spans="1:8" s="11" customFormat="1" ht="22.95" customHeight="1" x14ac:dyDescent="0.35">
      <c r="A2" s="14"/>
      <c r="B2" s="14"/>
      <c r="C2" s="15" t="s">
        <v>30</v>
      </c>
      <c r="D2" s="14"/>
      <c r="E2" s="14"/>
      <c r="F2" s="14"/>
      <c r="G2" s="14"/>
      <c r="H2" s="14"/>
    </row>
    <row r="3" spans="1:8" x14ac:dyDescent="0.3">
      <c r="A3" s="16"/>
      <c r="B3" s="16"/>
      <c r="C3" s="16"/>
      <c r="D3" s="16"/>
      <c r="E3" s="16"/>
      <c r="F3" s="16"/>
      <c r="G3" s="16"/>
      <c r="H3" s="16"/>
    </row>
    <row r="4" spans="1:8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</row>
    <row r="5" spans="1:8" x14ac:dyDescent="0.3">
      <c r="A5" s="4">
        <v>1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>
        <v>5</v>
      </c>
      <c r="H5" s="6" t="s">
        <v>11</v>
      </c>
    </row>
    <row r="6" spans="1:8" x14ac:dyDescent="0.3">
      <c r="A6" s="4">
        <v>2</v>
      </c>
      <c r="B6" s="5" t="s">
        <v>13</v>
      </c>
      <c r="C6" s="5" t="s">
        <v>14</v>
      </c>
      <c r="D6" s="5" t="s">
        <v>10</v>
      </c>
      <c r="E6" s="5" t="s">
        <v>11</v>
      </c>
      <c r="F6" s="5" t="s">
        <v>15</v>
      </c>
      <c r="G6" s="5">
        <v>4</v>
      </c>
      <c r="H6" s="6" t="s">
        <v>11</v>
      </c>
    </row>
    <row r="7" spans="1:8" x14ac:dyDescent="0.3">
      <c r="A7" s="4">
        <v>3</v>
      </c>
      <c r="B7" s="5" t="s">
        <v>16</v>
      </c>
      <c r="C7" s="5" t="s">
        <v>9</v>
      </c>
      <c r="D7" s="5" t="s">
        <v>17</v>
      </c>
      <c r="E7" s="5" t="s">
        <v>18</v>
      </c>
      <c r="F7" s="5" t="s">
        <v>19</v>
      </c>
      <c r="G7" s="5">
        <v>3</v>
      </c>
      <c r="H7" s="6" t="s">
        <v>18</v>
      </c>
    </row>
    <row r="8" spans="1:8" x14ac:dyDescent="0.3">
      <c r="A8" s="4">
        <v>4</v>
      </c>
      <c r="B8" s="5" t="s">
        <v>20</v>
      </c>
      <c r="C8" s="5" t="s">
        <v>14</v>
      </c>
      <c r="D8" s="5" t="s">
        <v>10</v>
      </c>
      <c r="E8" s="5" t="s">
        <v>11</v>
      </c>
      <c r="F8" s="5" t="s">
        <v>15</v>
      </c>
      <c r="G8" s="5">
        <v>4</v>
      </c>
      <c r="H8" s="6" t="s">
        <v>11</v>
      </c>
    </row>
    <row r="9" spans="1:8" x14ac:dyDescent="0.3">
      <c r="A9" s="4">
        <v>5</v>
      </c>
      <c r="B9" s="5" t="s">
        <v>8</v>
      </c>
      <c r="C9" s="5" t="s">
        <v>14</v>
      </c>
      <c r="D9" s="5" t="s">
        <v>17</v>
      </c>
      <c r="E9" s="5" t="s">
        <v>11</v>
      </c>
      <c r="F9" s="5" t="s">
        <v>12</v>
      </c>
      <c r="G9" s="5">
        <v>5</v>
      </c>
      <c r="H9" s="6" t="s">
        <v>11</v>
      </c>
    </row>
    <row r="10" spans="1:8" x14ac:dyDescent="0.3">
      <c r="A10" s="4">
        <v>6</v>
      </c>
      <c r="B10" s="5" t="s">
        <v>13</v>
      </c>
      <c r="C10" s="5" t="s">
        <v>9</v>
      </c>
      <c r="D10" s="5" t="s">
        <v>10</v>
      </c>
      <c r="E10" s="5" t="s">
        <v>18</v>
      </c>
      <c r="F10" s="5" t="s">
        <v>19</v>
      </c>
      <c r="G10" s="5">
        <v>2</v>
      </c>
      <c r="H10" s="6" t="s">
        <v>18</v>
      </c>
    </row>
    <row r="11" spans="1:8" x14ac:dyDescent="0.3">
      <c r="A11" s="4">
        <v>7</v>
      </c>
      <c r="B11" s="5" t="s">
        <v>16</v>
      </c>
      <c r="C11" s="5" t="s">
        <v>14</v>
      </c>
      <c r="D11" s="5" t="s">
        <v>10</v>
      </c>
      <c r="E11" s="5" t="s">
        <v>11</v>
      </c>
      <c r="F11" s="5" t="s">
        <v>15</v>
      </c>
      <c r="G11" s="5">
        <v>4</v>
      </c>
      <c r="H11" s="6" t="s">
        <v>11</v>
      </c>
    </row>
    <row r="12" spans="1:8" x14ac:dyDescent="0.3">
      <c r="A12" s="4">
        <v>8</v>
      </c>
      <c r="B12" s="5" t="s">
        <v>20</v>
      </c>
      <c r="C12" s="5" t="s">
        <v>9</v>
      </c>
      <c r="D12" s="5" t="s">
        <v>17</v>
      </c>
      <c r="E12" s="5" t="s">
        <v>18</v>
      </c>
      <c r="F12" s="5" t="s">
        <v>19</v>
      </c>
      <c r="G12" s="5">
        <v>3</v>
      </c>
      <c r="H12" s="6" t="s">
        <v>18</v>
      </c>
    </row>
    <row r="13" spans="1:8" x14ac:dyDescent="0.3">
      <c r="A13" s="4">
        <v>9</v>
      </c>
      <c r="B13" s="5" t="s">
        <v>8</v>
      </c>
      <c r="C13" s="5" t="s">
        <v>21</v>
      </c>
      <c r="D13" s="5" t="s">
        <v>10</v>
      </c>
      <c r="E13" s="5" t="s">
        <v>11</v>
      </c>
      <c r="F13" s="5" t="s">
        <v>12</v>
      </c>
      <c r="G13" s="5">
        <v>5</v>
      </c>
      <c r="H13" s="6" t="s">
        <v>11</v>
      </c>
    </row>
    <row r="14" spans="1:8" x14ac:dyDescent="0.3">
      <c r="A14" s="4">
        <v>10</v>
      </c>
      <c r="B14" s="5" t="s">
        <v>13</v>
      </c>
      <c r="C14" s="5" t="s">
        <v>14</v>
      </c>
      <c r="D14" s="5" t="s">
        <v>17</v>
      </c>
      <c r="E14" s="5" t="s">
        <v>11</v>
      </c>
      <c r="F14" s="5" t="s">
        <v>15</v>
      </c>
      <c r="G14" s="5">
        <v>4</v>
      </c>
      <c r="H14" s="6" t="s">
        <v>11</v>
      </c>
    </row>
    <row r="15" spans="1:8" x14ac:dyDescent="0.3">
      <c r="A15" s="4">
        <v>11</v>
      </c>
      <c r="B15" s="5" t="s">
        <v>16</v>
      </c>
      <c r="C15" s="5" t="s">
        <v>9</v>
      </c>
      <c r="D15" s="5" t="s">
        <v>10</v>
      </c>
      <c r="E15" s="5" t="s">
        <v>11</v>
      </c>
      <c r="F15" s="5" t="s">
        <v>19</v>
      </c>
      <c r="G15" s="5">
        <v>3</v>
      </c>
      <c r="H15" s="6" t="s">
        <v>18</v>
      </c>
    </row>
    <row r="16" spans="1:8" x14ac:dyDescent="0.3">
      <c r="A16" s="4">
        <v>12</v>
      </c>
      <c r="B16" s="5" t="s">
        <v>20</v>
      </c>
      <c r="C16" s="5" t="s">
        <v>14</v>
      </c>
      <c r="D16" s="5" t="s">
        <v>10</v>
      </c>
      <c r="E16" s="5" t="s">
        <v>18</v>
      </c>
      <c r="F16" s="5" t="s">
        <v>19</v>
      </c>
      <c r="G16" s="5">
        <v>2</v>
      </c>
      <c r="H16" s="6" t="s">
        <v>18</v>
      </c>
    </row>
    <row r="17" spans="1:8" x14ac:dyDescent="0.3">
      <c r="A17" s="4">
        <v>13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>
        <v>5</v>
      </c>
      <c r="H17" s="6" t="s">
        <v>11</v>
      </c>
    </row>
    <row r="18" spans="1:8" x14ac:dyDescent="0.3">
      <c r="A18" s="4">
        <v>14</v>
      </c>
      <c r="B18" s="5" t="s">
        <v>13</v>
      </c>
      <c r="C18" s="5" t="s">
        <v>14</v>
      </c>
      <c r="D18" s="5" t="s">
        <v>10</v>
      </c>
      <c r="E18" s="5" t="s">
        <v>11</v>
      </c>
      <c r="F18" s="5" t="s">
        <v>15</v>
      </c>
      <c r="G18" s="5">
        <v>4</v>
      </c>
      <c r="H18" s="6" t="s">
        <v>11</v>
      </c>
    </row>
    <row r="19" spans="1:8" x14ac:dyDescent="0.3">
      <c r="A19" s="4">
        <v>15</v>
      </c>
      <c r="B19" s="5" t="s">
        <v>16</v>
      </c>
      <c r="C19" s="5" t="s">
        <v>9</v>
      </c>
      <c r="D19" s="5" t="s">
        <v>17</v>
      </c>
      <c r="E19" s="5" t="s">
        <v>18</v>
      </c>
      <c r="F19" s="5" t="s">
        <v>19</v>
      </c>
      <c r="G19" s="5">
        <v>3</v>
      </c>
      <c r="H19" s="6" t="s">
        <v>18</v>
      </c>
    </row>
    <row r="20" spans="1:8" x14ac:dyDescent="0.3">
      <c r="A20" s="4">
        <v>16</v>
      </c>
      <c r="B20" s="5" t="s">
        <v>20</v>
      </c>
      <c r="C20" s="5" t="s">
        <v>14</v>
      </c>
      <c r="D20" s="5" t="s">
        <v>10</v>
      </c>
      <c r="E20" s="5" t="s">
        <v>11</v>
      </c>
      <c r="F20" s="5" t="s">
        <v>15</v>
      </c>
      <c r="G20" s="5">
        <v>4</v>
      </c>
      <c r="H20" s="6" t="s">
        <v>11</v>
      </c>
    </row>
    <row r="21" spans="1:8" x14ac:dyDescent="0.3">
      <c r="A21" s="4">
        <v>17</v>
      </c>
      <c r="B21" s="5" t="s">
        <v>8</v>
      </c>
      <c r="C21" s="5" t="s">
        <v>14</v>
      </c>
      <c r="D21" s="5" t="s">
        <v>10</v>
      </c>
      <c r="E21" s="5" t="s">
        <v>11</v>
      </c>
      <c r="F21" s="5" t="s">
        <v>12</v>
      </c>
      <c r="G21" s="5">
        <v>5</v>
      </c>
      <c r="H21" s="6" t="s">
        <v>11</v>
      </c>
    </row>
    <row r="22" spans="1:8" x14ac:dyDescent="0.3">
      <c r="A22" s="4">
        <v>18</v>
      </c>
      <c r="B22" s="5" t="s">
        <v>13</v>
      </c>
      <c r="C22" s="5" t="s">
        <v>9</v>
      </c>
      <c r="D22" s="5" t="s">
        <v>17</v>
      </c>
      <c r="E22" s="5" t="s">
        <v>18</v>
      </c>
      <c r="F22" s="5" t="s">
        <v>19</v>
      </c>
      <c r="G22" s="5">
        <v>2</v>
      </c>
      <c r="H22" s="6" t="s">
        <v>18</v>
      </c>
    </row>
    <row r="23" spans="1:8" x14ac:dyDescent="0.3">
      <c r="A23" s="4">
        <v>19</v>
      </c>
      <c r="B23" s="5" t="s">
        <v>16</v>
      </c>
      <c r="C23" s="5" t="s">
        <v>14</v>
      </c>
      <c r="D23" s="5" t="s">
        <v>10</v>
      </c>
      <c r="E23" s="5" t="s">
        <v>11</v>
      </c>
      <c r="F23" s="5" t="s">
        <v>15</v>
      </c>
      <c r="G23" s="5">
        <v>4</v>
      </c>
      <c r="H23" s="6" t="s">
        <v>11</v>
      </c>
    </row>
    <row r="24" spans="1:8" x14ac:dyDescent="0.3">
      <c r="A24" s="4">
        <v>20</v>
      </c>
      <c r="B24" s="5" t="s">
        <v>20</v>
      </c>
      <c r="C24" s="5" t="s">
        <v>9</v>
      </c>
      <c r="D24" s="5" t="s">
        <v>10</v>
      </c>
      <c r="E24" s="5" t="s">
        <v>11</v>
      </c>
      <c r="F24" s="5" t="s">
        <v>19</v>
      </c>
      <c r="G24" s="5">
        <v>3</v>
      </c>
      <c r="H24" s="6" t="s">
        <v>18</v>
      </c>
    </row>
    <row r="25" spans="1:8" x14ac:dyDescent="0.3">
      <c r="A25" s="4">
        <v>21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>
        <v>5</v>
      </c>
      <c r="H25" s="6" t="s">
        <v>11</v>
      </c>
    </row>
    <row r="26" spans="1:8" x14ac:dyDescent="0.3">
      <c r="A26" s="4">
        <v>22</v>
      </c>
      <c r="B26" s="5" t="s">
        <v>13</v>
      </c>
      <c r="C26" s="5" t="s">
        <v>14</v>
      </c>
      <c r="D26" s="5" t="s">
        <v>10</v>
      </c>
      <c r="E26" s="5" t="s">
        <v>11</v>
      </c>
      <c r="F26" s="5" t="s">
        <v>15</v>
      </c>
      <c r="G26" s="5">
        <v>4</v>
      </c>
      <c r="H26" s="6" t="s">
        <v>11</v>
      </c>
    </row>
    <row r="27" spans="1:8" x14ac:dyDescent="0.3">
      <c r="A27" s="4">
        <v>23</v>
      </c>
      <c r="B27" s="5" t="s">
        <v>16</v>
      </c>
      <c r="C27" s="5" t="s">
        <v>9</v>
      </c>
      <c r="D27" s="5" t="s">
        <v>17</v>
      </c>
      <c r="E27" s="5" t="s">
        <v>18</v>
      </c>
      <c r="F27" s="5" t="s">
        <v>19</v>
      </c>
      <c r="G27" s="5">
        <v>3</v>
      </c>
      <c r="H27" s="6" t="s">
        <v>18</v>
      </c>
    </row>
    <row r="28" spans="1:8" x14ac:dyDescent="0.3">
      <c r="A28" s="4">
        <v>24</v>
      </c>
      <c r="B28" s="5" t="s">
        <v>20</v>
      </c>
      <c r="C28" s="5" t="s">
        <v>14</v>
      </c>
      <c r="D28" s="5" t="s">
        <v>10</v>
      </c>
      <c r="E28" s="5" t="s">
        <v>11</v>
      </c>
      <c r="F28" s="5" t="s">
        <v>15</v>
      </c>
      <c r="G28" s="5">
        <v>4</v>
      </c>
      <c r="H28" s="6" t="s">
        <v>11</v>
      </c>
    </row>
    <row r="29" spans="1:8" x14ac:dyDescent="0.3">
      <c r="A29" s="7">
        <v>25</v>
      </c>
      <c r="B29" s="8" t="s">
        <v>8</v>
      </c>
      <c r="C29" s="8" t="s">
        <v>14</v>
      </c>
      <c r="D29" s="8" t="s">
        <v>10</v>
      </c>
      <c r="E29" s="8" t="s">
        <v>11</v>
      </c>
      <c r="F29" s="8" t="s">
        <v>12</v>
      </c>
      <c r="G29" s="8">
        <v>5</v>
      </c>
      <c r="H29" s="9" t="s">
        <v>11</v>
      </c>
    </row>
    <row r="30" spans="1:8" ht="21" x14ac:dyDescent="0.4">
      <c r="A30" s="18"/>
      <c r="B30" s="18"/>
      <c r="C30" s="18"/>
      <c r="D30" s="19" t="s">
        <v>32</v>
      </c>
      <c r="E30" s="18"/>
      <c r="F30" s="18"/>
      <c r="G30" s="18"/>
      <c r="H30" s="18"/>
    </row>
    <row r="31" spans="1:8" x14ac:dyDescent="0.3">
      <c r="A31" s="18"/>
      <c r="B31" s="18"/>
      <c r="C31" s="18"/>
      <c r="D31" s="18"/>
      <c r="E31" s="18"/>
      <c r="F31" s="18"/>
      <c r="G31" s="18"/>
      <c r="H31" s="18"/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opLeftCell="A5" workbookViewId="0">
      <selection activeCell="C31" sqref="C31:C33"/>
    </sheetView>
  </sheetViews>
  <sheetFormatPr defaultRowHeight="14.4" x14ac:dyDescent="0.3"/>
  <sheetData>
    <row r="1" spans="1:5" x14ac:dyDescent="0.3">
      <c r="A1" t="s">
        <v>22</v>
      </c>
      <c r="B1" t="s">
        <v>23</v>
      </c>
    </row>
    <row r="2" spans="1:5" x14ac:dyDescent="0.3">
      <c r="A2" t="s">
        <v>24</v>
      </c>
      <c r="B2">
        <f>COUNTIF(Survey_Data!E:E,"Yes")/COUNTA(Survey_Data!A:A)</f>
        <v>0.69230769230769229</v>
      </c>
      <c r="D2" t="s">
        <v>11</v>
      </c>
      <c r="E2">
        <f>COUNTIF(Survey_Data!H:H,"Yes")</f>
        <v>16</v>
      </c>
    </row>
    <row r="3" spans="1:5" x14ac:dyDescent="0.3">
      <c r="A3" t="s">
        <v>25</v>
      </c>
      <c r="B3">
        <f>COUNTIF(Survey_Data!G:G,"&gt;=4")/COUNTA(Survey_Data!A:A)</f>
        <v>0.61538461538461542</v>
      </c>
      <c r="D3" t="s">
        <v>18</v>
      </c>
      <c r="E3">
        <f>COUNTIF(Survey_Data!H:H,"No")</f>
        <v>9</v>
      </c>
    </row>
    <row r="4" spans="1:5" x14ac:dyDescent="0.3">
      <c r="A4" t="s">
        <v>26</v>
      </c>
      <c r="B4">
        <f>COUNTIF(Survey_Data!H:H,"Yes")/COUNTA(Survey_Data!A:A)</f>
        <v>0.61538461538461542</v>
      </c>
    </row>
    <row r="6" spans="1:5" x14ac:dyDescent="0.3">
      <c r="A6" t="s">
        <v>5</v>
      </c>
      <c r="B6" t="s">
        <v>27</v>
      </c>
      <c r="D6" t="s">
        <v>1</v>
      </c>
      <c r="E6" t="s">
        <v>28</v>
      </c>
    </row>
    <row r="7" spans="1:5" x14ac:dyDescent="0.3">
      <c r="A7" t="s">
        <v>19</v>
      </c>
      <c r="B7">
        <f>COUNTIF(Survey_Data!F:F,"Rare")</f>
        <v>9</v>
      </c>
      <c r="D7" t="s">
        <v>8</v>
      </c>
      <c r="E7">
        <f>AVERAGEIFS(Survey_Data!G:G,Survey_Data!B:B,"18–25")</f>
        <v>5</v>
      </c>
    </row>
    <row r="8" spans="1:5" x14ac:dyDescent="0.3">
      <c r="A8" t="s">
        <v>15</v>
      </c>
      <c r="B8">
        <f>COUNTIF(Survey_Data!F:F,"Occasional")</f>
        <v>9</v>
      </c>
      <c r="D8" t="s">
        <v>13</v>
      </c>
      <c r="E8">
        <f>AVERAGEIFS(Survey_Data!G:G,Survey_Data!B:B,"26–35")</f>
        <v>3.3333333333333335</v>
      </c>
    </row>
    <row r="9" spans="1:5" x14ac:dyDescent="0.3">
      <c r="A9" t="s">
        <v>12</v>
      </c>
      <c r="B9">
        <f>COUNTIF(Survey_Data!F:F,"Frequent")</f>
        <v>7</v>
      </c>
      <c r="D9" t="s">
        <v>16</v>
      </c>
      <c r="E9">
        <f>AVERAGEIFS(Survey_Data!G:G,Survey_Data!B:B,"36–45")</f>
        <v>3.3333333333333335</v>
      </c>
    </row>
    <row r="10" spans="1:5" x14ac:dyDescent="0.3">
      <c r="D10" t="s">
        <v>20</v>
      </c>
      <c r="E10">
        <f>AVERAGEIFS(Survey_Data!G:G,Survey_Data!B:B,"46+")</f>
        <v>3.3333333333333335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Survey_Data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2026-01-31T12:16:03Z</dcterms:created>
  <dcterms:modified xsi:type="dcterms:W3CDTF">2026-01-31T15:53:44Z</dcterms:modified>
</cp:coreProperties>
</file>