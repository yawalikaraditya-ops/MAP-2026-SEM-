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Ex1.xml" ContentType="application/vnd.ms-office.chartex+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430"/>
  <workbookPr/>
  <mc:AlternateContent xmlns:mc="http://schemas.openxmlformats.org/markup-compatibility/2006">
    <mc:Choice Requires="x15">
      <x15ac:absPath xmlns:x15ac="http://schemas.microsoft.com/office/spreadsheetml/2010/11/ac" url="https://d.docs.live.net/5202b574d7987275/Desktop/"/>
    </mc:Choice>
  </mc:AlternateContent>
  <xr:revisionPtr revIDLastSave="0" documentId="8_{83D16378-2732-4119-894F-3409FDA5C4F0}" xr6:coauthVersionLast="47" xr6:coauthVersionMax="47" xr10:uidLastSave="{00000000-0000-0000-0000-000000000000}"/>
  <bookViews>
    <workbookView xWindow="-108" yWindow="-108" windowWidth="23256" windowHeight="13896" xr2:uid="{00000000-000D-0000-FFFF-FFFF00000000}"/>
  </bookViews>
  <sheets>
    <sheet name="Sales_Data" sheetId="1" r:id="rId1"/>
  </sheets>
  <definedNames>
    <definedName name="_xlchart.v1.0" hidden="1">Sales_Data!$I$4</definedName>
    <definedName name="_xlchart.v1.1" hidden="1">Sales_Data!$I$5:$I$34</definedName>
    <definedName name="Slicer_Product">#N/A</definedName>
  </definedNames>
  <calcPr calcId="191029"/>
  <pivotCaches>
    <pivotCache cacheId="1" r:id="rId2"/>
    <pivotCache cacheId="9" r:id="rId3"/>
  </pivotCaches>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4"/>
      </x15:slicerCache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O25" i="1" l="1"/>
  <c r="O22" i="1"/>
  <c r="L34" i="1"/>
  <c r="L33" i="1"/>
  <c r="L32" i="1"/>
  <c r="L31" i="1"/>
  <c r="I5" i="1"/>
  <c r="L27" i="1" s="1"/>
  <c r="I6" i="1"/>
  <c r="O8" i="1" s="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L5" i="1"/>
  <c r="H5" i="1"/>
  <c r="O23" i="1" s="1"/>
  <c r="O24" i="1" s="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G5" i="1"/>
  <c r="L11" i="1" s="1"/>
  <c r="G6" i="1"/>
  <c r="L12" i="1" s="1"/>
  <c r="G7" i="1"/>
  <c r="L13" i="1" s="1"/>
  <c r="G8" i="1"/>
  <c r="G9" i="1"/>
  <c r="G10" i="1"/>
  <c r="G11" i="1"/>
  <c r="G12" i="1"/>
  <c r="G13" i="1"/>
  <c r="G14" i="1"/>
  <c r="G15" i="1"/>
  <c r="G16" i="1"/>
  <c r="G17" i="1"/>
  <c r="G18" i="1"/>
  <c r="G19" i="1"/>
  <c r="G20" i="1"/>
  <c r="G21" i="1"/>
  <c r="G22" i="1"/>
  <c r="G23" i="1"/>
  <c r="G24" i="1"/>
  <c r="G25" i="1"/>
  <c r="G26" i="1"/>
  <c r="G27" i="1"/>
  <c r="G28" i="1"/>
  <c r="G29" i="1"/>
  <c r="G30" i="1"/>
  <c r="G31" i="1"/>
  <c r="G32" i="1"/>
  <c r="G33" i="1"/>
  <c r="G34" i="1"/>
  <c r="O4" i="1" l="1"/>
  <c r="O13" i="1"/>
  <c r="O5" i="1"/>
  <c r="O15" i="1"/>
  <c r="O6" i="1"/>
  <c r="O16" i="1"/>
  <c r="O17" i="1"/>
  <c r="O7" i="1"/>
  <c r="L26" i="1"/>
</calcChain>
</file>

<file path=xl/sharedStrings.xml><?xml version="1.0" encoding="utf-8"?>
<sst xmlns="http://schemas.openxmlformats.org/spreadsheetml/2006/main" count="146" uniqueCount="82">
  <si>
    <t>Date</t>
  </si>
  <si>
    <t>Region</t>
  </si>
  <si>
    <t>Product</t>
  </si>
  <si>
    <t>Profit</t>
  </si>
  <si>
    <t>North</t>
  </si>
  <si>
    <t>Headphones</t>
  </si>
  <si>
    <t>East</t>
  </si>
  <si>
    <t>Laptop</t>
  </si>
  <si>
    <t>West</t>
  </si>
  <si>
    <t>Mobile</t>
  </si>
  <si>
    <t>Smart Watch</t>
  </si>
  <si>
    <t>South</t>
  </si>
  <si>
    <t>Tablet</t>
  </si>
  <si>
    <t>13/1/2026</t>
  </si>
  <si>
    <t>14/1/2026</t>
  </si>
  <si>
    <t>15/1/2026</t>
  </si>
  <si>
    <t>16/1/2026</t>
  </si>
  <si>
    <t>17/1/2026</t>
  </si>
  <si>
    <t>20/1/2026</t>
  </si>
  <si>
    <t>21/1/2026</t>
  </si>
  <si>
    <t>22/1/2026</t>
  </si>
  <si>
    <t>23/1/2026</t>
  </si>
  <si>
    <t>25/1/2026</t>
  </si>
  <si>
    <t>26/1/2026</t>
  </si>
  <si>
    <t>27/1/2026</t>
  </si>
  <si>
    <t>28/1/2026</t>
  </si>
  <si>
    <t>29/1/2026</t>
  </si>
  <si>
    <t>30/1/2026</t>
  </si>
  <si>
    <t>AVERAGE()</t>
  </si>
  <si>
    <t>MIN()</t>
  </si>
  <si>
    <t>MAX()</t>
  </si>
  <si>
    <t>COUNT()</t>
  </si>
  <si>
    <t>Column1</t>
  </si>
  <si>
    <t>19/1/2026</t>
  </si>
  <si>
    <t>TODAY()</t>
  </si>
  <si>
    <t>NOW()</t>
  </si>
  <si>
    <t>Column2</t>
  </si>
  <si>
    <t>Quantity</t>
  </si>
  <si>
    <t>Unit Price</t>
  </si>
  <si>
    <t xml:space="preserve"> Sale Amount</t>
  </si>
  <si>
    <t>Cost Unit</t>
  </si>
  <si>
    <t>MEAN()</t>
  </si>
  <si>
    <t>MODE()</t>
  </si>
  <si>
    <t>STANDARD DEVIATION()</t>
  </si>
  <si>
    <t>DETEDIF()</t>
  </si>
  <si>
    <t>2/14/2026</t>
  </si>
  <si>
    <t>Row Labels</t>
  </si>
  <si>
    <t>Grand Total</t>
  </si>
  <si>
    <t>REVENUE</t>
  </si>
  <si>
    <t>VLOOKUP()</t>
  </si>
  <si>
    <t>HLOOKUP()</t>
  </si>
  <si>
    <t>XLOOKUP()</t>
  </si>
  <si>
    <t>24/1/2026</t>
  </si>
  <si>
    <t>18/1/2026</t>
  </si>
  <si>
    <t>Sum of  Sale Amount</t>
  </si>
  <si>
    <t xml:space="preserve">         Advanced Excel Application in Business Analytics</t>
  </si>
  <si>
    <t xml:space="preserve">                                        SALES</t>
  </si>
  <si>
    <t>IF()</t>
  </si>
  <si>
    <t>AND()</t>
  </si>
  <si>
    <t>OR()</t>
  </si>
  <si>
    <t>MIXIMUM</t>
  </si>
  <si>
    <t>LEFT()</t>
  </si>
  <si>
    <t>RIGHT()</t>
  </si>
  <si>
    <t>MID()</t>
  </si>
  <si>
    <t>CONCAT()</t>
  </si>
  <si>
    <t>REGION</t>
  </si>
  <si>
    <r>
      <t xml:space="preserve">                 </t>
    </r>
    <r>
      <rPr>
        <sz val="14"/>
        <color theme="1"/>
        <rFont val="Calibri"/>
        <family val="2"/>
        <scheme val="minor"/>
      </rPr>
      <t xml:space="preserve"> </t>
    </r>
    <r>
      <rPr>
        <sz val="14"/>
        <rFont val="Calibri"/>
        <family val="2"/>
        <scheme val="minor"/>
      </rPr>
      <t xml:space="preserve"> </t>
    </r>
    <r>
      <rPr>
        <b/>
        <sz val="14"/>
        <rFont val="Calibri"/>
        <family val="2"/>
        <scheme val="minor"/>
      </rPr>
      <t>DATE FUCTION</t>
    </r>
  </si>
  <si>
    <r>
      <t xml:space="preserve">         </t>
    </r>
    <r>
      <rPr>
        <b/>
        <sz val="14"/>
        <color theme="1"/>
        <rFont val="Calibri"/>
        <family val="2"/>
        <scheme val="minor"/>
      </rPr>
      <t>Mathematical Function</t>
    </r>
  </si>
  <si>
    <r>
      <t xml:space="preserve">                          </t>
    </r>
    <r>
      <rPr>
        <b/>
        <sz val="14"/>
        <rFont val="Calibri"/>
        <family val="2"/>
        <scheme val="minor"/>
      </rPr>
      <t>STATISTICAL FUNCTION</t>
    </r>
  </si>
  <si>
    <r>
      <t xml:space="preserve">                      </t>
    </r>
    <r>
      <rPr>
        <b/>
        <sz val="14"/>
        <rFont val="Calibri"/>
        <family val="2"/>
        <scheme val="minor"/>
      </rPr>
      <t xml:space="preserve"> PIVOT TABLE</t>
    </r>
  </si>
  <si>
    <t>sum()</t>
  </si>
  <si>
    <t>NO</t>
  </si>
  <si>
    <t>MEDIAN()</t>
  </si>
  <si>
    <t>Correlation ()</t>
  </si>
  <si>
    <r>
      <t xml:space="preserve">                                  </t>
    </r>
    <r>
      <rPr>
        <b/>
        <sz val="14"/>
        <color theme="1"/>
        <rFont val="Calibri"/>
        <family val="2"/>
        <scheme val="minor"/>
      </rPr>
      <t xml:space="preserve"> LOOKUP FUNCTION</t>
    </r>
  </si>
  <si>
    <t xml:space="preserve">                                LOGICAL FUNCTION</t>
  </si>
  <si>
    <r>
      <t xml:space="preserve">                   </t>
    </r>
    <r>
      <rPr>
        <b/>
        <sz val="14"/>
        <rFont val="Calibri"/>
        <family val="2"/>
        <scheme val="minor"/>
      </rPr>
      <t xml:space="preserve"> TEXT FUNCTION</t>
    </r>
  </si>
  <si>
    <t>TOTAL REVENUE</t>
  </si>
  <si>
    <t xml:space="preserve">TOTAL PROFIT </t>
  </si>
  <si>
    <t>TOTAL MARGIN</t>
  </si>
  <si>
    <t>TOTAL COST</t>
  </si>
  <si>
    <r>
      <t xml:space="preserve">                </t>
    </r>
    <r>
      <rPr>
        <b/>
        <sz val="12"/>
        <color theme="1"/>
        <rFont val="Calibri"/>
        <family val="2"/>
        <scheme val="minor"/>
      </rPr>
      <t>DASHBOARD DEVELOPMENT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</si>
</sst>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2" x14ac:knownFonts="1">
    <font>
      <sz val="11"/>
      <color theme="1"/>
      <name val="Calibri"/>
      <family val="2"/>
      <scheme val="minor"/>
    </font>
    <font>
      <b/>
      <sz val="11"/>
      <name val="Calibri"/>
      <family val="2"/>
    </font>
    <font>
      <b/>
      <sz val="11"/>
      <name val="Calibri"/>
      <family val="2"/>
      <scheme val="minor"/>
    </font>
    <font>
      <sz val="11"/>
      <name val="Calibri"/>
      <family val="2"/>
      <scheme val="minor"/>
    </font>
    <font>
      <sz val="14"/>
      <color theme="1"/>
      <name val="Calibri"/>
      <family val="2"/>
      <scheme val="minor"/>
    </font>
    <font>
      <b/>
      <sz val="20"/>
      <color theme="1"/>
      <name val="Calibri"/>
      <family val="2"/>
      <scheme val="minor"/>
    </font>
    <font>
      <b/>
      <sz val="14"/>
      <color theme="1"/>
      <name val="Calibri"/>
      <family val="2"/>
      <scheme val="minor"/>
    </font>
    <font>
      <b/>
      <sz val="26"/>
      <color theme="1"/>
      <name val="Calibri"/>
      <family val="2"/>
      <scheme val="minor"/>
    </font>
    <font>
      <sz val="14"/>
      <name val="Calibri"/>
      <family val="2"/>
      <scheme val="minor"/>
    </font>
    <font>
      <b/>
      <sz val="14"/>
      <name val="Calibri"/>
      <family val="2"/>
      <scheme val="minor"/>
    </font>
    <font>
      <sz val="11"/>
      <color theme="1"/>
      <name val="Calibri"/>
      <family val="2"/>
      <scheme val="minor"/>
    </font>
    <font>
      <b/>
      <sz val="12"/>
      <color theme="1"/>
      <name val="Calibri"/>
      <family val="2"/>
      <scheme val="minor"/>
    </font>
  </fonts>
  <fills count="5">
    <fill>
      <patternFill patternType="none"/>
    </fill>
    <fill>
      <patternFill patternType="gray125"/>
    </fill>
    <fill>
      <patternFill patternType="solid">
        <fgColor theme="9" tint="-0.249977111117893"/>
        <bgColor indexed="64"/>
      </patternFill>
    </fill>
    <fill>
      <patternFill patternType="solid">
        <fgColor theme="9" tint="0.79998168889431442"/>
        <bgColor theme="9" tint="0.79998168889431442"/>
      </patternFill>
    </fill>
    <fill>
      <patternFill patternType="solid">
        <fgColor theme="9" tint="0.59999389629810485"/>
        <bgColor theme="9" tint="0.59999389629810485"/>
      </patternFill>
    </fill>
  </fills>
  <borders count="14">
    <border>
      <left/>
      <right/>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style="thin">
        <color indexed="64"/>
      </right>
      <top/>
      <bottom/>
      <diagonal/>
    </border>
    <border>
      <left/>
      <right/>
      <top/>
      <bottom style="thin">
        <color indexed="64"/>
      </bottom>
      <diagonal/>
    </border>
    <border>
      <left/>
      <right/>
      <top style="thin">
        <color indexed="64"/>
      </top>
      <bottom/>
      <diagonal/>
    </border>
    <border>
      <left/>
      <right/>
      <top style="thin">
        <color indexed="64"/>
      </top>
      <bottom style="thin">
        <color indexed="64"/>
      </bottom>
      <diagonal/>
    </border>
  </borders>
  <cellStyleXfs count="1">
    <xf numFmtId="0" fontId="0" fillId="0" borderId="0"/>
  </cellStyleXfs>
  <cellXfs count="39">
    <xf numFmtId="0" fontId="0" fillId="0" borderId="0" xfId="0"/>
    <xf numFmtId="0" fontId="0" fillId="0" borderId="1" xfId="0" applyBorder="1" applyAlignment="1">
      <alignment horizontal="center"/>
    </xf>
    <xf numFmtId="0" fontId="0" fillId="0" borderId="9" xfId="0" applyBorder="1" applyAlignment="1">
      <alignment horizontal="center"/>
    </xf>
    <xf numFmtId="0" fontId="0" fillId="0" borderId="0" xfId="0" applyAlignment="1">
      <alignment horizontal="center"/>
    </xf>
    <xf numFmtId="22" fontId="0" fillId="0" borderId="0" xfId="0" applyNumberFormat="1"/>
    <xf numFmtId="0" fontId="1" fillId="0" borderId="0" xfId="0" applyFont="1" applyAlignment="1">
      <alignment horizontal="center"/>
    </xf>
    <xf numFmtId="0" fontId="0" fillId="0" borderId="1" xfId="0" applyBorder="1"/>
    <xf numFmtId="0" fontId="0" fillId="0" borderId="2" xfId="0" applyBorder="1" applyAlignment="1">
      <alignment horizontal="center"/>
    </xf>
    <xf numFmtId="0" fontId="0" fillId="0" borderId="5" xfId="0" applyBorder="1" applyAlignment="1">
      <alignment horizontal="center"/>
    </xf>
    <xf numFmtId="0" fontId="0" fillId="0" borderId="7" xfId="0" applyBorder="1" applyAlignment="1">
      <alignment horizontal="center"/>
    </xf>
    <xf numFmtId="22" fontId="0" fillId="0" borderId="6" xfId="0" applyNumberFormat="1" applyBorder="1" applyAlignment="1">
      <alignment horizontal="center"/>
    </xf>
    <xf numFmtId="14" fontId="0" fillId="0" borderId="4" xfId="0" applyNumberFormat="1" applyBorder="1" applyAlignment="1">
      <alignment horizontal="center"/>
    </xf>
    <xf numFmtId="0" fontId="0" fillId="0" borderId="1" xfId="0" pivotButton="1" applyBorder="1"/>
    <xf numFmtId="0" fontId="0" fillId="0" borderId="1" xfId="0" applyBorder="1" applyAlignment="1">
      <alignment horizontal="left"/>
    </xf>
    <xf numFmtId="0" fontId="2" fillId="0" borderId="1" xfId="0" applyFont="1" applyBorder="1"/>
    <xf numFmtId="0" fontId="2" fillId="0" borderId="1" xfId="0" applyFont="1" applyBorder="1" applyAlignment="1">
      <alignment horizontal="center"/>
    </xf>
    <xf numFmtId="0" fontId="1" fillId="0" borderId="1" xfId="0" applyFont="1" applyBorder="1" applyAlignment="1">
      <alignment horizontal="center"/>
    </xf>
    <xf numFmtId="14" fontId="0" fillId="0" borderId="1" xfId="0" applyNumberFormat="1" applyBorder="1"/>
    <xf numFmtId="0" fontId="0" fillId="2" borderId="0" xfId="0" applyFill="1"/>
    <xf numFmtId="0" fontId="7" fillId="2" borderId="0" xfId="0" applyFont="1" applyFill="1"/>
    <xf numFmtId="0" fontId="5" fillId="2" borderId="0" xfId="0" applyFont="1" applyFill="1"/>
    <xf numFmtId="0" fontId="0" fillId="0" borderId="12" xfId="0" applyBorder="1"/>
    <xf numFmtId="0" fontId="10" fillId="4" borderId="6" xfId="0" applyFont="1" applyFill="1" applyBorder="1" applyAlignment="1">
      <alignment horizontal="center"/>
    </xf>
    <xf numFmtId="0" fontId="0" fillId="0" borderId="13" xfId="0" applyBorder="1"/>
    <xf numFmtId="0" fontId="10" fillId="3" borderId="6" xfId="0" applyFont="1" applyFill="1" applyBorder="1" applyAlignment="1">
      <alignment horizontal="center"/>
    </xf>
    <xf numFmtId="0" fontId="10" fillId="4" borderId="1" xfId="0" applyFont="1" applyFill="1" applyBorder="1" applyAlignment="1">
      <alignment horizontal="center"/>
    </xf>
    <xf numFmtId="0" fontId="0" fillId="0" borderId="11" xfId="0" applyBorder="1" applyAlignment="1">
      <alignment horizontal="center"/>
    </xf>
    <xf numFmtId="0" fontId="0" fillId="0" borderId="13" xfId="0" applyBorder="1" applyAlignment="1">
      <alignment horizontal="center"/>
    </xf>
    <xf numFmtId="0" fontId="0" fillId="0" borderId="12" xfId="0" applyBorder="1" applyAlignment="1">
      <alignment horizontal="center"/>
    </xf>
    <xf numFmtId="0" fontId="0" fillId="0" borderId="1" xfId="0" pivotButton="1" applyBorder="1" applyAlignment="1">
      <alignment horizontal="center"/>
    </xf>
    <xf numFmtId="0" fontId="0" fillId="0" borderId="8" xfId="0" applyBorder="1" applyAlignment="1">
      <alignment horizontal="center"/>
    </xf>
    <xf numFmtId="0" fontId="0" fillId="0" borderId="10" xfId="0" applyBorder="1" applyAlignment="1">
      <alignment horizontal="center"/>
    </xf>
    <xf numFmtId="0" fontId="0" fillId="0" borderId="3" xfId="0" applyBorder="1" applyAlignment="1">
      <alignment horizontal="center"/>
    </xf>
    <xf numFmtId="0" fontId="0" fillId="2" borderId="0" xfId="0" applyFill="1" applyAlignment="1">
      <alignment horizontal="center"/>
    </xf>
    <xf numFmtId="0" fontId="0" fillId="0" borderId="4" xfId="0" applyBorder="1" applyAlignment="1">
      <alignment horizontal="center"/>
    </xf>
    <xf numFmtId="0" fontId="0" fillId="0" borderId="6" xfId="0" applyBorder="1" applyAlignment="1">
      <alignment horizontal="center"/>
    </xf>
    <xf numFmtId="0" fontId="9" fillId="2" borderId="0" xfId="0" applyFont="1" applyFill="1" applyAlignment="1">
      <alignment horizontal="center"/>
    </xf>
    <xf numFmtId="0" fontId="3" fillId="0" borderId="4" xfId="0" applyFont="1" applyBorder="1" applyAlignment="1">
      <alignment horizontal="center"/>
    </xf>
    <xf numFmtId="0" fontId="0" fillId="0" borderId="1" xfId="0" applyNumberFormat="1" applyBorder="1"/>
  </cellXfs>
  <cellStyles count="1">
    <cellStyle name="Normal" xfId="0" builtinId="0"/>
  </cellStyles>
  <dxfs count="73">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outline="0">
        <left/>
        <right style="thin">
          <color indexed="64"/>
        </right>
        <top/>
        <bottom style="thin">
          <color indexed="64"/>
        </bottom>
      </border>
    </dxf>
    <dxf>
      <alignment horizontal="center" vertical="bottom" textRotation="0" wrapText="0" indent="0" justifyLastLine="0" shrinkToFit="0" readingOrder="0"/>
      <border diagonalUp="0" diagonalDown="0" outline="0">
        <left style="thin">
          <color indexed="64"/>
        </left>
        <right/>
        <top/>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bottom/>
      </border>
    </dxf>
    <dxf>
      <alignment horizontal="center" vertical="bottom" textRotation="0" wrapText="0" indent="0" justifyLastLine="0" shrinkToFit="0" readingOrder="0"/>
      <border diagonalUp="0" diagonalDown="0">
        <left style="thin">
          <color indexed="64"/>
        </left>
        <right/>
        <top style="thin">
          <color indexed="64"/>
        </top>
        <bottom style="thin">
          <color indexed="64"/>
        </bottom>
        <vertical/>
        <horizontal/>
      </border>
    </dxf>
    <dxf>
      <alignment horizontal="center" vertical="bottom"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dxf>
    <dxf>
      <alignment horizontal="center" vertical="bottom" textRotation="0" wrapText="0" indent="0" justifyLastLine="0" shrinkToFit="0" readingOrder="0"/>
      <border diagonalUp="0" diagonalDown="0" outline="0">
        <left style="thin">
          <color indexed="64"/>
        </left>
        <right style="thin">
          <color indexed="64"/>
        </right>
        <top/>
        <bottom/>
      </border>
    </dxf>
    <dxf>
      <alignment horizontal="center" vertical="bottom" textRotation="0" wrapText="0" indent="0" justifyLastLine="0" shrinkToFit="0" readingOrder="0"/>
      <border diagonalUp="0" diagonalDown="0" outline="0">
        <left style="thin">
          <color indexed="64"/>
        </left>
        <right/>
        <top style="thin">
          <color indexed="64"/>
        </top>
        <bottom style="thin">
          <color indexed="64"/>
        </bottom>
      </border>
    </dxf>
    <dxf>
      <alignment horizontal="center" vertical="bottom" textRotation="0" wrapText="0" indent="0" justifyLastLine="0" shrinkToFit="0" readingOrder="0"/>
      <border diagonalUp="0" diagonalDown="0" outline="0">
        <left/>
        <right style="thin">
          <color indexed="64"/>
        </right>
        <top style="thin">
          <color indexed="64"/>
        </top>
        <bottom style="thin">
          <color indexed="64"/>
        </bottom>
      </border>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border diagonalUp="0" diagonalDown="0" outline="0">
        <left style="thin">
          <color indexed="64"/>
        </left>
        <right style="thin">
          <color indexed="64"/>
        </right>
        <top/>
        <bottom/>
      </border>
    </dxf>
    <dxf>
      <numFmt numFmtId="0" formatCode="General"/>
      <alignment horizontal="center" vertical="bottom" textRotation="0" wrapText="0" indent="0" justifyLastLine="0" shrinkToFit="0" readingOrder="0"/>
      <border diagonalUp="0" diagonalDown="0" outline="0">
        <left style="thin">
          <color indexed="64"/>
        </left>
        <right/>
        <top style="thin">
          <color indexed="64"/>
        </top>
        <bottom style="thin">
          <color indexed="64"/>
        </bottom>
      </border>
    </dxf>
    <dxf>
      <alignment horizontal="center" vertical="bottom" textRotation="0" wrapText="0" indent="0" justifyLastLine="0" shrinkToFit="0" readingOrder="0"/>
      <border diagonalUp="0" diagonalDown="0" outline="0">
        <left/>
        <right style="thin">
          <color indexed="64"/>
        </right>
        <top style="thin">
          <color indexed="64"/>
        </top>
        <bottom style="thin">
          <color indexed="64"/>
        </bottom>
      </border>
    </dxf>
    <dxf>
      <alignment horizontal="center"/>
    </dxf>
    <dxf>
      <alignment horizontal="center"/>
    </dxf>
    <dxf>
      <alignment horizontal="center"/>
    </dxf>
    <dxf>
      <alignment horizontal="center"/>
    </dxf>
    <dxf>
      <alignment horizontal="center"/>
    </dxf>
    <dxf>
      <alignment horizontal="center"/>
    </dxf>
    <dxf>
      <alignment horizontal="center" vertical="bottom" textRotation="0" wrapText="0" indent="0" justifyLastLine="0" shrinkToFit="0" readingOrder="0"/>
      <border diagonalUp="0" diagonalDown="0" outline="0">
        <left/>
        <right/>
        <top style="thin">
          <color indexed="64"/>
        </top>
        <bottom style="thin">
          <color indexed="64"/>
        </bottom>
      </border>
    </dxf>
    <dxf>
      <border>
        <top style="thin">
          <color indexed="64"/>
        </top>
      </border>
    </dxf>
    <dxf>
      <border diagonalUp="0" diagonalDown="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dxf>
    <dxf>
      <alignment horizontal="center" vertical="bottom" textRotation="0" wrapText="0" indent="0" justifyLastLine="0" shrinkToFit="0" readingOrder="0"/>
      <border diagonalUp="0" diagonalDown="0" outline="0">
        <left style="thin">
          <color indexed="64"/>
        </left>
        <right style="thin">
          <color indexed="64"/>
        </right>
        <top/>
        <bottom/>
      </border>
    </dxf>
    <dxf>
      <border diagonalUp="0" diagonalDown="0">
        <left/>
        <right/>
        <top style="thin">
          <color indexed="64"/>
        </top>
        <bottom style="thin">
          <color indexed="64"/>
        </bottom>
        <vertical style="thin">
          <color indexed="64"/>
        </vertical>
        <horizontal style="thin">
          <color indexed="64"/>
        </horizontal>
      </border>
    </dxf>
    <dxf>
      <border diagonalUp="0" diagonalDown="0" outline="0">
        <left/>
        <right/>
        <top/>
        <bottom style="thin">
          <color indexed="64"/>
        </bottom>
      </border>
    </dxf>
    <dxf>
      <border>
        <top style="thin">
          <color indexed="64"/>
        </top>
      </border>
    </dxf>
    <dxf>
      <border diagonalUp="0" diagonalDown="0">
        <left style="thin">
          <color indexed="64"/>
        </left>
        <right style="thin">
          <color indexed="64"/>
        </right>
        <top style="thin">
          <color indexed="64"/>
        </top>
        <bottom style="thin">
          <color indexed="64"/>
        </bottom>
      </border>
    </dxf>
    <dxf>
      <border>
        <bottom style="thin">
          <color indexed="64"/>
        </bottom>
      </border>
    </dxf>
    <dxf>
      <border diagonalUp="0" diagonalDown="0">
        <left style="thin">
          <color indexed="64"/>
        </left>
        <right style="thin">
          <color indexed="64"/>
        </right>
        <top/>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border>
        <bottom style="thin">
          <color indexed="64"/>
        </bottom>
      </border>
    </dxf>
    <dxf>
      <border>
        <top style="thin">
          <color indexed="64"/>
        </top>
      </border>
    </dxf>
    <dxf>
      <border diagonalUp="0" diagonalDown="0">
        <left style="thin">
          <color indexed="64"/>
        </left>
        <right style="thin">
          <color indexed="64"/>
        </right>
        <top style="thin">
          <color indexed="64"/>
        </top>
        <bottom style="thin">
          <color indexed="64"/>
        </bottom>
      </border>
    </dxf>
    <dxf>
      <border>
        <bottom style="thin">
          <color indexed="64"/>
        </bottom>
      </border>
    </dxf>
    <dxf>
      <alignment horizontal="center" vertical="bottom"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numFmt numFmtId="0" formatCode="General"/>
      <alignment horizontal="center" vertical="bottom" textRotation="0" wrapText="0" indent="0" justifyLastLine="0" shrinkToFit="0" readingOrder="0"/>
      <border diagonalUp="0" diagonalDown="0">
        <left style="thin">
          <color indexed="64"/>
        </left>
        <right/>
        <top style="thin">
          <color indexed="64"/>
        </top>
        <bottom style="thin">
          <color indexed="64"/>
        </bottom>
        <vertical style="thin">
          <color indexed="64"/>
        </vertical>
        <horizontal style="thin">
          <color indexed="64"/>
        </horizontal>
      </border>
    </dxf>
    <dxf>
      <numFmt numFmtId="0" formatCode="Genera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dxf>
    <dxf>
      <border>
        <bottom style="thin">
          <color indexed="64"/>
        </bottom>
      </border>
    </dxf>
    <dxf>
      <font>
        <b/>
        <i val="0"/>
        <strike val="0"/>
        <condense val="0"/>
        <extend val="0"/>
        <outline val="0"/>
        <shadow val="0"/>
        <u val="none"/>
        <vertAlign val="baseline"/>
        <sz val="11"/>
        <color auto="1"/>
        <name val="Calibri"/>
        <family val="2"/>
        <scheme val="none"/>
      </font>
      <alignment horizontal="center" vertical="bottom" textRotation="0" wrapText="0" indent="0" justifyLastLine="0" shrinkToFit="0" readingOrder="0"/>
      <border diagonalUp="0" diagonalDown="0">
        <left style="thin">
          <color indexed="64"/>
        </left>
        <right style="thin">
          <color indexed="64"/>
        </right>
        <top/>
        <bottom/>
        <vertical style="thin">
          <color indexed="64"/>
        </vertical>
        <horizontal style="thin">
          <color indexed="64"/>
        </horizontal>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s>
  <tableStyles count="1" defaultTableStyle="TableStyleMedium9" defaultPivotStyle="PivotStyleLight16">
    <tableStyle name="PivotTable Style 1" table="0" count="0" xr9:uid="{6AFB7CE1-CE86-4F44-8020-7ABADBA0963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pivotCacheDefinition" Target="pivotCache/pivotCacheDefinition2.xml"/><Relationship Id="rId7" Type="http://schemas.openxmlformats.org/officeDocument/2006/relationships/sharedStrings" Target="sharedStrings.xml"/><Relationship Id="rId2" Type="http://schemas.openxmlformats.org/officeDocument/2006/relationships/pivotCacheDefinition" Target="pivotCache/pivotCacheDefinition1.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Sales</a:t>
            </a:r>
            <a:r>
              <a:rPr lang="en-US" baseline="0"/>
              <a:t> comparison</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lumMod val="75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lumMod val="75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lumMod val="75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v>Total</c:v>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Pt>
            <c:idx val="0"/>
            <c:invertIfNegative val="0"/>
            <c:bubble3D val="0"/>
            <c:spPr>
              <a:solidFill>
                <a:schemeClr val="accent6">
                  <a:lumMod val="75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87EA-4EE9-B08D-F60035A209A8}"/>
              </c:ext>
            </c:extLst>
          </c:dPt>
          <c:cat>
            <c:strLit>
              <c:ptCount val="1"/>
              <c:pt idx="0">
                <c:v>Total</c:v>
              </c:pt>
            </c:strLit>
          </c:cat>
          <c:val>
            <c:numLit>
              <c:formatCode>General</c:formatCode>
              <c:ptCount val="1"/>
              <c:pt idx="0">
                <c:v>358035</c:v>
              </c:pt>
            </c:numLit>
          </c:val>
          <c:extLst>
            <c:ext xmlns:c16="http://schemas.microsoft.com/office/drawing/2014/chart" uri="{C3380CC4-5D6E-409C-BE32-E72D297353CC}">
              <c16:uniqueId val="{00000002-87EA-4EE9-B08D-F60035A209A8}"/>
            </c:ext>
          </c:extLst>
        </c:ser>
        <c:dLbls>
          <c:showLegendKey val="0"/>
          <c:showVal val="0"/>
          <c:showCatName val="0"/>
          <c:showSerName val="0"/>
          <c:showPercent val="0"/>
          <c:showBubbleSize val="0"/>
        </c:dLbls>
        <c:gapWidth val="150"/>
        <c:shape val="box"/>
        <c:axId val="1595588624"/>
        <c:axId val="2036786384"/>
        <c:axId val="0"/>
      </c:bar3DChart>
      <c:catAx>
        <c:axId val="159558862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36786384"/>
        <c:crosses val="autoZero"/>
        <c:auto val="1"/>
        <c:lblAlgn val="ctr"/>
        <c:lblOffset val="100"/>
        <c:noMultiLvlLbl val="0"/>
      </c:catAx>
      <c:valAx>
        <c:axId val="2036786384"/>
        <c:scaling>
          <c:orientation val="minMax"/>
        </c:scaling>
        <c:delete val="0"/>
        <c:axPos val="b"/>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955886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Department</a:t>
            </a:r>
            <a:r>
              <a:rPr lang="en-US" baseline="0"/>
              <a:t> distribution</a:t>
            </a:r>
            <a:endParaRPr lang="en-US"/>
          </a:p>
        </c:rich>
      </c:tx>
      <c:layout>
        <c:manualLayout>
          <c:xMode val="edge"/>
          <c:yMode val="edge"/>
          <c:x val="0.22937343554784986"/>
          <c:y val="4.0901148628391545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2"/>
        <c:dLbl>
          <c:idx val="0"/>
          <c:layout>
            <c:manualLayout>
              <c:x val="2.7108486439195102E-2"/>
              <c:y val="-3.111621463983668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3"/>
        <c:dLbl>
          <c:idx val="0"/>
          <c:layout>
            <c:manualLayout>
              <c:x val="1.0834864391950904E-2"/>
              <c:y val="-1.12882764654418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4"/>
        <c:dLbl>
          <c:idx val="0"/>
          <c:layout>
            <c:manualLayout>
              <c:x val="1.5885389326334209E-2"/>
              <c:y val="-1.879629629629646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5"/>
        <c:dLbl>
          <c:idx val="0"/>
          <c:layout>
            <c:manualLayout>
              <c:x val="-0.12027384076990379"/>
              <c:y val="-3.530037911927675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6"/>
        <c:dLbl>
          <c:idx val="0"/>
          <c:layout>
            <c:manualLayout>
              <c:x val="-1.6952974628171479E-2"/>
              <c:y val="-9.833333333333332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1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1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1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v>Total</c:v>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84E9-4C0E-A54F-4BCF7F11C552}"/>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84E9-4C0E-A54F-4BCF7F11C552}"/>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84E9-4C0E-A54F-4BCF7F11C552}"/>
              </c:ext>
            </c:extLst>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84E9-4C0E-A54F-4BCF7F11C552}"/>
              </c:ext>
            </c:extLst>
          </c:dPt>
          <c:dPt>
            <c:idx val="4"/>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9-84E9-4C0E-A54F-4BCF7F11C55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Lit>
              <c:ptCount val="5"/>
              <c:pt idx="0">
                <c:v>Headphones</c:v>
              </c:pt>
              <c:pt idx="1">
                <c:v>Laptop</c:v>
              </c:pt>
              <c:pt idx="2">
                <c:v>Mobile</c:v>
              </c:pt>
              <c:pt idx="3">
                <c:v>Smart Watch</c:v>
              </c:pt>
              <c:pt idx="4">
                <c:v>Tablet</c:v>
              </c:pt>
            </c:strLit>
          </c:cat>
          <c:val>
            <c:numLit>
              <c:formatCode>General</c:formatCode>
              <c:ptCount val="5"/>
              <c:pt idx="0">
                <c:v>7</c:v>
              </c:pt>
              <c:pt idx="1">
                <c:v>6</c:v>
              </c:pt>
              <c:pt idx="2">
                <c:v>4</c:v>
              </c:pt>
              <c:pt idx="3">
                <c:v>8</c:v>
              </c:pt>
              <c:pt idx="4">
                <c:v>5</c:v>
              </c:pt>
            </c:numLit>
          </c:val>
          <c:extLst>
            <c:ext xmlns:c16="http://schemas.microsoft.com/office/drawing/2014/chart" uri="{C3380CC4-5D6E-409C-BE32-E72D297353CC}">
              <c16:uniqueId val="{0000000A-84E9-4C0E-A54F-4BCF7F11C552}"/>
            </c:ext>
          </c:extLst>
        </c:ser>
        <c:dLbls>
          <c:dLblPos val="ctr"/>
          <c:showLegendKey val="0"/>
          <c:showVal val="0"/>
          <c:showCatName val="0"/>
          <c:showSerName val="0"/>
          <c:showPercent val="1"/>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_xlchart.v1.1</cx:f>
      </cx:numDim>
    </cx:data>
  </cx:chartData>
  <cx:chart>
    <cx:title pos="t" align="ctr" overlay="0">
      <cx:tx>
        <cx:txData>
          <cx:v>Revenue</cx:v>
        </cx:txData>
      </cx:tx>
      <cx:txPr>
        <a:bodyPr spcFirstLastPara="1" vertOverflow="ellipsis" horzOverflow="overflow" wrap="square" lIns="0" tIns="0" rIns="0" bIns="0" anchor="ctr" anchorCtr="1"/>
        <a:lstStyle/>
        <a:p>
          <a:pPr algn="ctr" rtl="0">
            <a:defRPr/>
          </a:pPr>
          <a:r>
            <a:rPr lang="en-US" sz="1600" b="1" i="0" u="none" strike="noStrike" spc="100" baseline="0">
              <a:solidFill>
                <a:sysClr val="window" lastClr="FFFFFF">
                  <a:lumMod val="95000"/>
                </a:sysClr>
              </a:solidFill>
              <a:effectLst>
                <a:outerShdw blurRad="50800" dist="38100" dir="5400000" algn="t" rotWithShape="0">
                  <a:prstClr val="black">
                    <a:alpha val="40000"/>
                  </a:prstClr>
                </a:outerShdw>
              </a:effectLst>
              <a:latin typeface="Calibri"/>
            </a:rPr>
            <a:t>Revenue</a:t>
          </a:r>
        </a:p>
      </cx:txPr>
    </cx:title>
    <cx:plotArea>
      <cx:plotAreaRegion>
        <cx:series layoutId="clusteredColumn" uniqueId="{0087767E-74A6-41B1-B3DC-27C7E34546CE}">
          <cx:tx>
            <cx:txData>
              <cx:f>_xlchart.v1.0</cx:f>
              <cx:v>REVENUE</cx:v>
            </cx:txData>
          </cx:tx>
          <cx:dataId val="0"/>
          <cx:layoutPr>
            <cx:binning intervalClosed="r"/>
          </cx:layoutPr>
          <cx:axisId val="1"/>
        </cx:series>
        <cx:series layoutId="paretoLine" ownerIdx="0" uniqueId="{727C8937-7724-4571-9AA4-E21F54D315D1}">
          <cx:axisId val="2"/>
        </cx:series>
      </cx:plotAreaRegion>
      <cx:axis id="0">
        <cx:catScaling gapWidth="0"/>
        <cx:tickLabels/>
      </cx:axis>
      <cx:axis id="1">
        <cx:valScaling/>
        <cx:majorGridlines/>
        <cx:tickLabels/>
      </cx:axis>
      <cx:axis id="2">
        <cx:valScaling max="1" min="0"/>
        <cx:units unit="percentage"/>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370">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cs:chartArea>
  <cs:dataLabel>
    <cs:lnRef idx="0"/>
    <cs:fillRef idx="0"/>
    <cs:effectRef idx="0"/>
    <cs:fontRef idx="minor">
      <a:schemeClr val="lt1">
        <a:lumMod val="9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ln>
        <a:solidFill>
          <a:schemeClr val="tx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600" b="1" spc="10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microsoft.com/office/2014/relationships/chartEx" Target="../charts/chartEx1.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0</xdr:colOff>
      <xdr:row>36</xdr:row>
      <xdr:rowOff>8964</xdr:rowOff>
    </xdr:from>
    <xdr:to>
      <xdr:col>3</xdr:col>
      <xdr:colOff>1201270</xdr:colOff>
      <xdr:row>55</xdr:row>
      <xdr:rowOff>17928</xdr:rowOff>
    </xdr:to>
    <xdr:graphicFrame macro="">
      <xdr:nvGraphicFramePr>
        <xdr:cNvPr id="2" name="Chart 1">
          <a:extLst>
            <a:ext uri="{FF2B5EF4-FFF2-40B4-BE49-F238E27FC236}">
              <a16:creationId xmlns:a16="http://schemas.microsoft.com/office/drawing/2014/main" id="{BDD683EE-EA29-4C37-97CE-F1B7851298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1192306</xdr:colOff>
      <xdr:row>36</xdr:row>
      <xdr:rowOff>8966</xdr:rowOff>
    </xdr:from>
    <xdr:to>
      <xdr:col>9</xdr:col>
      <xdr:colOff>0</xdr:colOff>
      <xdr:row>55</xdr:row>
      <xdr:rowOff>17929</xdr:rowOff>
    </xdr:to>
    <xdr:graphicFrame macro="">
      <xdr:nvGraphicFramePr>
        <xdr:cNvPr id="3" name="Chart 2">
          <a:extLst>
            <a:ext uri="{FF2B5EF4-FFF2-40B4-BE49-F238E27FC236}">
              <a16:creationId xmlns:a16="http://schemas.microsoft.com/office/drawing/2014/main" id="{30BDBC8F-3FE0-49B4-8E61-7FDA3EC26F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58</xdr:row>
      <xdr:rowOff>8963</xdr:rowOff>
    </xdr:from>
    <xdr:to>
      <xdr:col>4</xdr:col>
      <xdr:colOff>0</xdr:colOff>
      <xdr:row>75</xdr:row>
      <xdr:rowOff>170329</xdr:rowOff>
    </xdr:to>
    <mc:AlternateContent xmlns:mc="http://schemas.openxmlformats.org/markup-compatibility/2006">
      <mc:Choice xmlns:cx1="http://schemas.microsoft.com/office/drawing/2015/9/8/chartex" Requires="cx1">
        <xdr:graphicFrame macro="">
          <xdr:nvGraphicFramePr>
            <xdr:cNvPr id="4" name="Chart 3">
              <a:extLst>
                <a:ext uri="{FF2B5EF4-FFF2-40B4-BE49-F238E27FC236}">
                  <a16:creationId xmlns:a16="http://schemas.microsoft.com/office/drawing/2014/main" id="{BB108AF8-469F-434E-96D1-F52E70F0D14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0" y="11378003"/>
              <a:ext cx="4274820" cy="3270326"/>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editAs="absolute">
    <xdr:from>
      <xdr:col>9</xdr:col>
      <xdr:colOff>743173</xdr:colOff>
      <xdr:row>0</xdr:row>
      <xdr:rowOff>12104</xdr:rowOff>
    </xdr:from>
    <xdr:to>
      <xdr:col>13</xdr:col>
      <xdr:colOff>1219199</xdr:colOff>
      <xdr:row>1</xdr:row>
      <xdr:rowOff>242048</xdr:rowOff>
    </xdr:to>
    <mc:AlternateContent xmlns:mc="http://schemas.openxmlformats.org/markup-compatibility/2006">
      <mc:Choice xmlns:sle15="http://schemas.microsoft.com/office/drawing/2012/slicer" Requires="sle15">
        <xdr:graphicFrame macro="">
          <xdr:nvGraphicFramePr>
            <xdr:cNvPr id="5" name="Product">
              <a:extLst>
                <a:ext uri="{FF2B5EF4-FFF2-40B4-BE49-F238E27FC236}">
                  <a16:creationId xmlns:a16="http://schemas.microsoft.com/office/drawing/2014/main" id="{EE57A732-80B2-4729-BBEC-D4A54697B5E9}"/>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11169126" y="12104"/>
              <a:ext cx="4904591" cy="660250"/>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068.426300231484" createdVersion="7" refreshedVersion="7" minRefreshableVersion="3" recordCount="30" xr:uid="{5100AE84-65E3-4ABD-963B-2F68A9FB7971}">
  <cacheSource type="worksheet">
    <worksheetSource ref="A4:I34" sheet="Sales_Data"/>
  </cacheSource>
  <cacheFields count="10">
    <cacheField name="ROLL NO" numFmtId="0">
      <sharedItems containsSemiMixedTypes="0" containsString="0" containsNumber="1" containsInteger="1" minValue="1" maxValue="30"/>
    </cacheField>
    <cacheField name="Date" numFmtId="0">
      <sharedItems containsDate="1" containsMixedTypes="1" minDate="2026-01-01T00:00:00" maxDate="2026-12-02T00:00:00"/>
    </cacheField>
    <cacheField name="Region" numFmtId="0">
      <sharedItems count="4">
        <s v="North"/>
        <s v="East"/>
        <s v="West"/>
        <s v="South"/>
      </sharedItems>
    </cacheField>
    <cacheField name="Product" numFmtId="0">
      <sharedItems/>
    </cacheField>
    <cacheField name="Quantity" numFmtId="0">
      <sharedItems containsSemiMixedTypes="0" containsString="0" containsNumber="1" containsInteger="1" minValue="10" maxValue="60"/>
    </cacheField>
    <cacheField name="Unit Price" numFmtId="0">
      <sharedItems containsSemiMixedTypes="0" containsString="0" containsNumber="1" containsInteger="1" minValue="100" maxValue="963"/>
    </cacheField>
    <cacheField name="Cost Unit" numFmtId="0">
      <sharedItems containsSemiMixedTypes="0" containsString="0" containsNumber="1" containsInteger="1" minValue="80" maxValue="900"/>
    </cacheField>
    <cacheField name=" Sale Amount" numFmtId="0">
      <sharedItems containsSemiMixedTypes="0" containsString="0" containsNumber="1" containsInteger="1" minValue="3000" maxValue="27350"/>
    </cacheField>
    <cacheField name="Profit" numFmtId="0">
      <sharedItems containsSemiMixedTypes="0" containsString="0" containsNumber="1" containsInteger="1" minValue="280" maxValue="56700"/>
    </cacheField>
    <cacheField name="REVENUE" numFmtId="0">
      <sharedItems containsSemiMixedTypes="0" containsString="0" containsNumber="1" containsInteger="1" minValue="3000" maxValue="27350"/>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072.928995833332" createdVersion="7" refreshedVersion="7" minRefreshableVersion="3" recordCount="30" xr:uid="{03AA0329-0A37-4E67-8E1D-E75D3075EF2D}">
  <cacheSource type="worksheet">
    <worksheetSource name="Table1"/>
  </cacheSource>
  <cacheFields count="9">
    <cacheField name="Date" numFmtId="0">
      <sharedItems containsDate="1" containsMixedTypes="1" minDate="2026-01-01T00:00:00" maxDate="2026-12-02T00:00:00"/>
    </cacheField>
    <cacheField name="Region" numFmtId="0">
      <sharedItems/>
    </cacheField>
    <cacheField name="Product" numFmtId="0">
      <sharedItems count="5">
        <s v="Headphones"/>
        <s v="Laptop"/>
        <s v="Mobile"/>
        <s v="Smart Watch"/>
        <s v="Tablet"/>
      </sharedItems>
    </cacheField>
    <cacheField name="Quantity" numFmtId="0">
      <sharedItems containsSemiMixedTypes="0" containsString="0" containsNumber="1" containsInteger="1" minValue="10" maxValue="60"/>
    </cacheField>
    <cacheField name="Unit Price" numFmtId="0">
      <sharedItems containsSemiMixedTypes="0" containsString="0" containsNumber="1" containsInteger="1" minValue="100" maxValue="963"/>
    </cacheField>
    <cacheField name="Cost Unit" numFmtId="0">
      <sharedItems containsSemiMixedTypes="0" containsString="0" containsNumber="1" containsInteger="1" minValue="80" maxValue="900"/>
    </cacheField>
    <cacheField name=" Sale Amount" numFmtId="0">
      <sharedItems containsSemiMixedTypes="0" containsString="0" containsNumber="1" containsInteger="1" minValue="3000" maxValue="27350"/>
    </cacheField>
    <cacheField name="Profit" numFmtId="0">
      <sharedItems containsSemiMixedTypes="0" containsString="0" containsNumber="1" containsInteger="1" minValue="280" maxValue="56700"/>
    </cacheField>
    <cacheField name="REVENUE" numFmtId="0">
      <sharedItems containsSemiMixedTypes="0" containsString="0" containsNumber="1" containsInteger="1" minValue="3000" maxValue="27350"/>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
  <r>
    <n v="1"/>
    <d v="2026-01-01T00:00:00"/>
    <x v="0"/>
    <s v="Headphones"/>
    <n v="30"/>
    <n v="500"/>
    <n v="350"/>
    <n v="15000"/>
    <n v="52500"/>
    <n v="15000"/>
  </r>
  <r>
    <n v="2"/>
    <d v="2026-02-01T00:00:00"/>
    <x v="1"/>
    <s v="Laptop"/>
    <n v="25"/>
    <n v="350"/>
    <n v="200"/>
    <n v="8750"/>
    <n v="30000"/>
    <n v="8750"/>
  </r>
  <r>
    <n v="3"/>
    <d v="2026-03-01T00:00:00"/>
    <x v="2"/>
    <s v="Mobile"/>
    <n v="20"/>
    <n v="400"/>
    <n v="350"/>
    <n v="8000"/>
    <n v="17500"/>
    <n v="8000"/>
  </r>
  <r>
    <n v="4"/>
    <d v="2026-04-01T00:00:00"/>
    <x v="1"/>
    <s v="Smart Watch"/>
    <n v="25"/>
    <n v="450"/>
    <n v="300"/>
    <n v="11250"/>
    <n v="45000"/>
    <n v="11250"/>
  </r>
  <r>
    <n v="5"/>
    <d v="2026-05-01T00:00:00"/>
    <x v="1"/>
    <s v="Smart Watch"/>
    <n v="30"/>
    <n v="300"/>
    <n v="150"/>
    <n v="9000"/>
    <n v="22500"/>
    <n v="9000"/>
  </r>
  <r>
    <n v="6"/>
    <d v="2026-06-01T00:00:00"/>
    <x v="3"/>
    <s v="Laptop"/>
    <n v="26"/>
    <n v="200"/>
    <n v="100"/>
    <n v="5200"/>
    <n v="10000"/>
    <n v="5200"/>
  </r>
  <r>
    <n v="7"/>
    <d v="2026-07-01T00:00:00"/>
    <x v="0"/>
    <s v="Tablet"/>
    <n v="30"/>
    <n v="100"/>
    <n v="80"/>
    <n v="3000"/>
    <n v="1600"/>
    <n v="3000"/>
  </r>
  <r>
    <n v="8"/>
    <d v="2026-08-01T00:00:00"/>
    <x v="3"/>
    <s v="Headphones"/>
    <n v="15"/>
    <n v="450"/>
    <n v="300"/>
    <n v="6750"/>
    <n v="45000"/>
    <n v="6750"/>
  </r>
  <r>
    <n v="9"/>
    <d v="2026-09-01T00:00:00"/>
    <x v="0"/>
    <s v="Headphones"/>
    <n v="20"/>
    <n v="600"/>
    <n v="500"/>
    <n v="12000"/>
    <n v="50000"/>
    <n v="12000"/>
  </r>
  <r>
    <n v="10"/>
    <d v="2026-10-01T00:00:00"/>
    <x v="3"/>
    <s v="Headphones"/>
    <n v="30"/>
    <n v="250"/>
    <n v="200"/>
    <n v="7500"/>
    <n v="10000"/>
    <n v="7500"/>
  </r>
  <r>
    <n v="11"/>
    <d v="2026-11-01T00:00:00"/>
    <x v="3"/>
    <s v="Laptop"/>
    <n v="35"/>
    <n v="200"/>
    <n v="180"/>
    <n v="7000"/>
    <n v="3600"/>
    <n v="7000"/>
  </r>
  <r>
    <n v="12"/>
    <d v="2026-12-01T00:00:00"/>
    <x v="1"/>
    <s v="Tablet"/>
    <n v="40"/>
    <n v="300"/>
    <n v="150"/>
    <n v="12000"/>
    <n v="22500"/>
    <n v="12000"/>
  </r>
  <r>
    <n v="13"/>
    <s v="13/1/2026"/>
    <x v="1"/>
    <s v="Laptop"/>
    <n v="50"/>
    <n v="150"/>
    <n v="140"/>
    <n v="7500"/>
    <n v="1400"/>
    <n v="7500"/>
  </r>
  <r>
    <n v="14"/>
    <s v="14/1/2026"/>
    <x v="3"/>
    <s v="Smart Watch"/>
    <n v="60"/>
    <n v="400"/>
    <n v="320"/>
    <n v="24000"/>
    <n v="25600"/>
    <n v="24000"/>
  </r>
  <r>
    <n v="15"/>
    <s v="15/1/2026"/>
    <x v="0"/>
    <s v="Smart Watch"/>
    <n v="24"/>
    <n v="500"/>
    <n v="450"/>
    <n v="12000"/>
    <n v="22500"/>
    <n v="12000"/>
  </r>
  <r>
    <n v="16"/>
    <s v="16/1/2026"/>
    <x v="1"/>
    <s v="Smart Watch"/>
    <n v="25"/>
    <n v="600"/>
    <n v="550"/>
    <n v="15000"/>
    <n v="27500"/>
    <n v="15000"/>
  </r>
  <r>
    <n v="17"/>
    <s v="17/1/2026"/>
    <x v="3"/>
    <s v="Mobile"/>
    <n v="30"/>
    <n v="350"/>
    <n v="300"/>
    <n v="10500"/>
    <n v="15000"/>
    <n v="10500"/>
  </r>
  <r>
    <n v="18"/>
    <s v="18/1/2026"/>
    <x v="2"/>
    <s v="Tablet"/>
    <n v="40"/>
    <n v="245"/>
    <n v="220"/>
    <n v="9800"/>
    <n v="5500"/>
    <n v="9800"/>
  </r>
  <r>
    <n v="19"/>
    <s v="19/1/2026"/>
    <x v="3"/>
    <s v="Laptop"/>
    <n v="45"/>
    <n v="365"/>
    <n v="350"/>
    <n v="16425"/>
    <n v="5250"/>
    <n v="16425"/>
  </r>
  <r>
    <n v="20"/>
    <s v="20/1/2026"/>
    <x v="2"/>
    <s v="Mobile"/>
    <n v="35"/>
    <n v="245"/>
    <n v="240"/>
    <n v="8575"/>
    <n v="1200"/>
    <n v="8575"/>
  </r>
  <r>
    <n v="21"/>
    <s v="21/1/2026"/>
    <x v="3"/>
    <s v="Tablet"/>
    <n v="50"/>
    <n v="142"/>
    <n v="140"/>
    <n v="7100"/>
    <n v="280"/>
    <n v="7100"/>
  </r>
  <r>
    <n v="22"/>
    <s v="22/1/2026"/>
    <x v="1"/>
    <s v="Tablet"/>
    <n v="40"/>
    <n v="356"/>
    <n v="350"/>
    <n v="14240"/>
    <n v="2100"/>
    <n v="14240"/>
  </r>
  <r>
    <n v="23"/>
    <s v="23/1/2026"/>
    <x v="1"/>
    <s v="Smart Watch"/>
    <n v="30"/>
    <n v="255"/>
    <n v="200"/>
    <n v="7650"/>
    <n v="11000"/>
    <n v="7650"/>
  </r>
  <r>
    <n v="24"/>
    <s v="24/1/2026"/>
    <x v="0"/>
    <s v="Smart Watch"/>
    <n v="35"/>
    <n v="145"/>
    <n v="140"/>
    <n v="5075"/>
    <n v="700"/>
    <n v="5075"/>
  </r>
  <r>
    <n v="25"/>
    <s v="25/1/2026"/>
    <x v="0"/>
    <s v="Headphones"/>
    <n v="40"/>
    <n v="365"/>
    <n v="300"/>
    <n v="14600"/>
    <n v="19500"/>
    <n v="14600"/>
  </r>
  <r>
    <n v="26"/>
    <s v="26/1/2026"/>
    <x v="0"/>
    <s v="Headphones"/>
    <n v="40"/>
    <n v="569"/>
    <n v="500"/>
    <n v="22760"/>
    <n v="34500"/>
    <n v="22760"/>
  </r>
  <r>
    <n v="27"/>
    <s v="27/1/2026"/>
    <x v="2"/>
    <s v="Smart Watch"/>
    <n v="50"/>
    <n v="547"/>
    <n v="500"/>
    <n v="27350"/>
    <n v="23500"/>
    <n v="27350"/>
  </r>
  <r>
    <n v="28"/>
    <s v="28/1/2026"/>
    <x v="0"/>
    <s v="Laptop"/>
    <n v="30"/>
    <n v="852"/>
    <n v="800"/>
    <n v="25560"/>
    <n v="41600"/>
    <n v="25560"/>
  </r>
  <r>
    <n v="29"/>
    <s v="29/1/2026"/>
    <x v="1"/>
    <s v="Mobile"/>
    <n v="10"/>
    <n v="963"/>
    <n v="900"/>
    <n v="9630"/>
    <n v="56700"/>
    <n v="9630"/>
  </r>
  <r>
    <n v="30"/>
    <s v="30/1/2026"/>
    <x v="2"/>
    <s v="Headphones"/>
    <n v="20"/>
    <n v="741"/>
    <n v="700"/>
    <n v="14820"/>
    <n v="28700"/>
    <n v="1482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
  <r>
    <d v="2026-01-01T00:00:00"/>
    <s v="North"/>
    <x v="0"/>
    <n v="30"/>
    <n v="500"/>
    <n v="350"/>
    <n v="15000"/>
    <n v="52500"/>
    <n v="15000"/>
  </r>
  <r>
    <d v="2026-02-01T00:00:00"/>
    <s v="East"/>
    <x v="1"/>
    <n v="25"/>
    <n v="350"/>
    <n v="200"/>
    <n v="8750"/>
    <n v="30000"/>
    <n v="8750"/>
  </r>
  <r>
    <d v="2026-03-01T00:00:00"/>
    <s v="West"/>
    <x v="2"/>
    <n v="20"/>
    <n v="400"/>
    <n v="350"/>
    <n v="8000"/>
    <n v="17500"/>
    <n v="8000"/>
  </r>
  <r>
    <d v="2026-04-01T00:00:00"/>
    <s v="East"/>
    <x v="3"/>
    <n v="25"/>
    <n v="450"/>
    <n v="300"/>
    <n v="11250"/>
    <n v="45000"/>
    <n v="11250"/>
  </r>
  <r>
    <d v="2026-05-01T00:00:00"/>
    <s v="East"/>
    <x v="3"/>
    <n v="30"/>
    <n v="300"/>
    <n v="150"/>
    <n v="9000"/>
    <n v="22500"/>
    <n v="9000"/>
  </r>
  <r>
    <d v="2026-06-01T00:00:00"/>
    <s v="South"/>
    <x v="1"/>
    <n v="26"/>
    <n v="200"/>
    <n v="100"/>
    <n v="5200"/>
    <n v="10000"/>
    <n v="5200"/>
  </r>
  <r>
    <d v="2026-07-01T00:00:00"/>
    <s v="North"/>
    <x v="4"/>
    <n v="30"/>
    <n v="100"/>
    <n v="80"/>
    <n v="3000"/>
    <n v="1600"/>
    <n v="3000"/>
  </r>
  <r>
    <d v="2026-08-01T00:00:00"/>
    <s v="South"/>
    <x v="0"/>
    <n v="15"/>
    <n v="450"/>
    <n v="300"/>
    <n v="6750"/>
    <n v="45000"/>
    <n v="6750"/>
  </r>
  <r>
    <d v="2026-09-01T00:00:00"/>
    <s v="North"/>
    <x v="0"/>
    <n v="20"/>
    <n v="600"/>
    <n v="500"/>
    <n v="12000"/>
    <n v="50000"/>
    <n v="12000"/>
  </r>
  <r>
    <d v="2026-10-01T00:00:00"/>
    <s v="South"/>
    <x v="0"/>
    <n v="30"/>
    <n v="250"/>
    <n v="200"/>
    <n v="7500"/>
    <n v="10000"/>
    <n v="7500"/>
  </r>
  <r>
    <d v="2026-11-01T00:00:00"/>
    <s v="South"/>
    <x v="1"/>
    <n v="35"/>
    <n v="200"/>
    <n v="180"/>
    <n v="7000"/>
    <n v="3600"/>
    <n v="7000"/>
  </r>
  <r>
    <d v="2026-12-01T00:00:00"/>
    <s v="East"/>
    <x v="4"/>
    <n v="40"/>
    <n v="300"/>
    <n v="150"/>
    <n v="12000"/>
    <n v="22500"/>
    <n v="12000"/>
  </r>
  <r>
    <s v="13/1/2026"/>
    <s v="East"/>
    <x v="1"/>
    <n v="50"/>
    <n v="150"/>
    <n v="140"/>
    <n v="7500"/>
    <n v="1400"/>
    <n v="7500"/>
  </r>
  <r>
    <s v="14/1/2026"/>
    <s v="South"/>
    <x v="3"/>
    <n v="60"/>
    <n v="400"/>
    <n v="320"/>
    <n v="24000"/>
    <n v="25600"/>
    <n v="24000"/>
  </r>
  <r>
    <s v="15/1/2026"/>
    <s v="North"/>
    <x v="3"/>
    <n v="24"/>
    <n v="500"/>
    <n v="450"/>
    <n v="12000"/>
    <n v="22500"/>
    <n v="12000"/>
  </r>
  <r>
    <s v="16/1/2026"/>
    <s v="East"/>
    <x v="3"/>
    <n v="25"/>
    <n v="600"/>
    <n v="550"/>
    <n v="15000"/>
    <n v="27500"/>
    <n v="15000"/>
  </r>
  <r>
    <s v="17/1/2026"/>
    <s v="South"/>
    <x v="2"/>
    <n v="30"/>
    <n v="350"/>
    <n v="300"/>
    <n v="10500"/>
    <n v="15000"/>
    <n v="10500"/>
  </r>
  <r>
    <s v="18/1/2026"/>
    <s v="West"/>
    <x v="4"/>
    <n v="40"/>
    <n v="245"/>
    <n v="220"/>
    <n v="9800"/>
    <n v="5500"/>
    <n v="9800"/>
  </r>
  <r>
    <s v="19/1/2026"/>
    <s v="South"/>
    <x v="1"/>
    <n v="45"/>
    <n v="365"/>
    <n v="350"/>
    <n v="16425"/>
    <n v="5250"/>
    <n v="16425"/>
  </r>
  <r>
    <s v="20/1/2026"/>
    <s v="West"/>
    <x v="2"/>
    <n v="35"/>
    <n v="245"/>
    <n v="240"/>
    <n v="8575"/>
    <n v="1200"/>
    <n v="8575"/>
  </r>
  <r>
    <s v="21/1/2026"/>
    <s v="South"/>
    <x v="4"/>
    <n v="50"/>
    <n v="142"/>
    <n v="140"/>
    <n v="7100"/>
    <n v="280"/>
    <n v="7100"/>
  </r>
  <r>
    <s v="22/1/2026"/>
    <s v="East"/>
    <x v="4"/>
    <n v="40"/>
    <n v="356"/>
    <n v="350"/>
    <n v="14240"/>
    <n v="2100"/>
    <n v="14240"/>
  </r>
  <r>
    <s v="23/1/2026"/>
    <s v="East"/>
    <x v="3"/>
    <n v="30"/>
    <n v="255"/>
    <n v="200"/>
    <n v="7650"/>
    <n v="11000"/>
    <n v="7650"/>
  </r>
  <r>
    <s v="24/1/2026"/>
    <s v="North"/>
    <x v="3"/>
    <n v="35"/>
    <n v="145"/>
    <n v="140"/>
    <n v="5075"/>
    <n v="700"/>
    <n v="5075"/>
  </r>
  <r>
    <s v="25/1/2026"/>
    <s v="North"/>
    <x v="0"/>
    <n v="40"/>
    <n v="365"/>
    <n v="300"/>
    <n v="14600"/>
    <n v="19500"/>
    <n v="14600"/>
  </r>
  <r>
    <s v="26/1/2026"/>
    <s v="North"/>
    <x v="0"/>
    <n v="40"/>
    <n v="569"/>
    <n v="500"/>
    <n v="22760"/>
    <n v="34500"/>
    <n v="22760"/>
  </r>
  <r>
    <s v="27/1/2026"/>
    <s v="West"/>
    <x v="3"/>
    <n v="50"/>
    <n v="547"/>
    <n v="500"/>
    <n v="27350"/>
    <n v="23500"/>
    <n v="27350"/>
  </r>
  <r>
    <s v="28/1/2026"/>
    <s v="North"/>
    <x v="1"/>
    <n v="30"/>
    <n v="852"/>
    <n v="800"/>
    <n v="25560"/>
    <n v="41600"/>
    <n v="25560"/>
  </r>
  <r>
    <s v="29/1/2026"/>
    <s v="East"/>
    <x v="2"/>
    <n v="10"/>
    <n v="963"/>
    <n v="900"/>
    <n v="9630"/>
    <n v="56700"/>
    <n v="9630"/>
  </r>
  <r>
    <s v="30/1/2026"/>
    <s v="West"/>
    <x v="0"/>
    <n v="20"/>
    <n v="741"/>
    <n v="700"/>
    <n v="14820"/>
    <n v="28700"/>
    <n v="1482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7CFA876-DF05-4F1F-AE4C-FEBE9531354B}" name="PivotTable4" cacheId="9"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N29:O35" firstHeaderRow="1" firstDataRow="1" firstDataCol="1"/>
  <pivotFields count="9">
    <pivotField showAll="0"/>
    <pivotField showAll="0"/>
    <pivotField axis="axisRow" showAll="0">
      <items count="6">
        <item x="0"/>
        <item x="1"/>
        <item x="2"/>
        <item x="3"/>
        <item x="4"/>
        <item t="default"/>
      </items>
    </pivotField>
    <pivotField showAll="0"/>
    <pivotField showAll="0"/>
    <pivotField showAll="0"/>
    <pivotField dataField="1" showAll="0"/>
    <pivotField showAll="0"/>
    <pivotField showAll="0"/>
  </pivotFields>
  <rowFields count="1">
    <field x="2"/>
  </rowFields>
  <rowItems count="6">
    <i>
      <x/>
    </i>
    <i>
      <x v="1"/>
    </i>
    <i>
      <x v="2"/>
    </i>
    <i>
      <x v="3"/>
    </i>
    <i>
      <x v="4"/>
    </i>
    <i t="grand">
      <x/>
    </i>
  </rowItems>
  <colItems count="1">
    <i/>
  </colItems>
  <dataFields count="1">
    <dataField name="Sum of  Sale Amount" fld="6" baseField="0" baseItem="0"/>
  </dataFields>
  <formats count="6">
    <format dxfId="0">
      <pivotArea type="all" dataOnly="0" outline="0" fieldPosition="0"/>
    </format>
    <format dxfId="1">
      <pivotArea outline="0" collapsedLevelsAreSubtotals="1" fieldPosition="0"/>
    </format>
    <format dxfId="2">
      <pivotArea field="2" type="button" dataOnly="0" labelOnly="1" outline="0" axis="axisRow" fieldPosition="0"/>
    </format>
    <format dxfId="3">
      <pivotArea dataOnly="0" labelOnly="1" fieldPosition="0">
        <references count="1">
          <reference field="2" count="0"/>
        </references>
      </pivotArea>
    </format>
    <format dxfId="4">
      <pivotArea dataOnly="0" labelOnly="1" grandRow="1" outline="0" fieldPosition="0"/>
    </format>
    <format dxfId="5">
      <pivotArea dataOnly="0" labelOnly="1" outline="0" axis="axisValues" fieldPosition="0"/>
    </format>
  </formats>
  <pivotTableStyleInfo name="PivotStyleMedium2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4AA481D-B724-474E-8E03-E529D4141979}" name="PivotTable2"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K16:L21" firstHeaderRow="1" firstDataRow="1" firstDataCol="1"/>
  <pivotFields count="10">
    <pivotField showAll="0"/>
    <pivotField showAll="0"/>
    <pivotField axis="axisRow" showAll="0">
      <items count="5">
        <item x="1"/>
        <item x="0"/>
        <item x="3"/>
        <item x="2"/>
        <item t="default"/>
      </items>
    </pivotField>
    <pivotField showAll="0"/>
    <pivotField showAll="0"/>
    <pivotField showAll="0"/>
    <pivotField showAll="0"/>
    <pivotField dataField="1" showAll="0"/>
    <pivotField showAll="0"/>
    <pivotField showAll="0"/>
  </pivotFields>
  <rowFields count="1">
    <field x="2"/>
  </rowFields>
  <rowItems count="5">
    <i>
      <x/>
    </i>
    <i>
      <x v="1"/>
    </i>
    <i>
      <x v="2"/>
    </i>
    <i>
      <x v="3"/>
    </i>
    <i t="grand">
      <x/>
    </i>
  </rowItems>
  <colItems count="1">
    <i/>
  </colItems>
  <dataFields count="1">
    <dataField name="Sum of  Sale Amount" fld="7" baseField="2" baseItem="0"/>
  </dataFields>
  <formats count="12">
    <format dxfId="72">
      <pivotArea type="all" dataOnly="0" outline="0" fieldPosition="0"/>
    </format>
    <format dxfId="71">
      <pivotArea outline="0" collapsedLevelsAreSubtotals="1" fieldPosition="0"/>
    </format>
    <format dxfId="70">
      <pivotArea field="2" type="button" dataOnly="0" labelOnly="1" outline="0" axis="axisRow" fieldPosition="0"/>
    </format>
    <format dxfId="69">
      <pivotArea dataOnly="0" labelOnly="1" fieldPosition="0">
        <references count="1">
          <reference field="2" count="0"/>
        </references>
      </pivotArea>
    </format>
    <format dxfId="68">
      <pivotArea dataOnly="0" labelOnly="1" grandRow="1" outline="0" fieldPosition="0"/>
    </format>
    <format dxfId="67">
      <pivotArea dataOnly="0" labelOnly="1" outline="0" axis="axisValues" fieldPosition="0"/>
    </format>
    <format dxfId="31">
      <pivotArea type="all" dataOnly="0" outline="0" fieldPosition="0"/>
    </format>
    <format dxfId="30">
      <pivotArea outline="0" collapsedLevelsAreSubtotals="1" fieldPosition="0"/>
    </format>
    <format dxfId="29">
      <pivotArea field="2" type="button" dataOnly="0" labelOnly="1" outline="0" axis="axisRow" fieldPosition="0"/>
    </format>
    <format dxfId="28">
      <pivotArea dataOnly="0" labelOnly="1" fieldPosition="0">
        <references count="1">
          <reference field="2" count="0"/>
        </references>
      </pivotArea>
    </format>
    <format dxfId="27">
      <pivotArea dataOnly="0" labelOnly="1" grandRow="1" outline="0" fieldPosition="0"/>
    </format>
    <format dxfId="26">
      <pivotArea dataOnly="0" labelOnly="1" outline="0" axis="axisValues" fieldPosition="0"/>
    </format>
  </formats>
  <pivotTableStyleInfo name="PivotStyleMedium14"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10DF700A-82D8-45CB-9F34-7D0B07373366}" sourceName="Product">
  <extLst>
    <x:ext xmlns:x15="http://schemas.microsoft.com/office/spreadsheetml/2010/11/main" uri="{2F2917AC-EB37-4324-AD4E-5DD8C200BD13}">
      <x15:tableSlicerCache tableId="1" column="3"/>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xr10:uid="{934B1301-B63D-427A-99C4-568509318A62}" cache="Slicer_Product" caption="Product" columnCount="5"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6041188-2929-434A-924D-9AC793FAD30E}" name="Table1" displayName="Table1" ref="A4:I34" totalsRowShown="0" headerRowDxfId="66" dataDxfId="64" headerRowBorderDxfId="65" tableBorderDxfId="63" totalsRowBorderDxfId="62">
  <autoFilter ref="A4:I34" xr:uid="{B6041188-2929-434A-924D-9AC793FAD30E}">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autoFilter>
  <tableColumns count="9">
    <tableColumn id="1" xr3:uid="{329D7757-59D2-4248-9D2E-37433E553B75}" name="Date" dataDxfId="61"/>
    <tableColumn id="2" xr3:uid="{7B4394D8-8613-4EC8-B911-EA70F3D83A3D}" name="Region" dataDxfId="60"/>
    <tableColumn id="3" xr3:uid="{D2130896-C854-4177-ABDB-DEAFBCE5E966}" name="Product" dataDxfId="59"/>
    <tableColumn id="8" xr3:uid="{931DB97B-7EAC-4FBE-ABCF-D4412B8FE31E}" name="Quantity" dataDxfId="58"/>
    <tableColumn id="9" xr3:uid="{EB61C77D-62A0-4F10-A2B2-CB7EAD7CD6A5}" name="Unit Price" dataDxfId="57"/>
    <tableColumn id="11" xr3:uid="{0A04F3C1-8A86-4521-94D4-EEF01F5B8E47}" name="Cost Unit" dataDxfId="56"/>
    <tableColumn id="10" xr3:uid="{8D1ACF45-81A0-4D58-82D2-3A6624BF2667}" name=" Sale Amount" dataDxfId="55">
      <calculatedColumnFormula>SUM(Table1[[#This Row],[Quantity]]*Table1[[#This Row],[Unit Price]])</calculatedColumnFormula>
    </tableColumn>
    <tableColumn id="12" xr3:uid="{03A71254-E68A-4A73-8EB8-28F0D692CCF7}" name="Profit" dataDxfId="54">
      <calculatedColumnFormula>(E5-F5)*F5</calculatedColumnFormula>
    </tableColumn>
    <tableColumn id="15" xr3:uid="{61866A26-F484-417E-886B-03526D3CC113}" name="REVENUE" dataDxfId="53">
      <calculatedColumnFormula>(Table1[[#This Row],[Quantity]]*Table1[[#This Row],[Unit Price]])</calculatedColumnFormula>
    </tableColumn>
  </tableColumns>
  <tableStyleInfo name="TableStyleMedium14"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37CCB3D9-8AFC-4C6F-96C1-5211A0640C43}" name="Table4" displayName="Table4" ref="K4:L6" totalsRowShown="0" headerRowBorderDxfId="52" tableBorderDxfId="51" totalsRowBorderDxfId="50">
  <autoFilter ref="K4:L6" xr:uid="{37CCB3D9-8AFC-4C6F-96C1-5211A0640C43}">
    <filterColumn colId="0" hiddenButton="1"/>
    <filterColumn colId="1" hiddenButton="1"/>
  </autoFilter>
  <tableColumns count="2">
    <tableColumn id="1" xr3:uid="{BC442C8F-14EA-4014-ABD5-7BA64857E677}" name="TODAY()" dataDxfId="49"/>
    <tableColumn id="2" xr3:uid="{9AC66D77-FD5D-44B8-9D9D-2C9BD1F5CADC}" name="2/14/2026"/>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C1492D13-CCD8-4589-97AE-A84FA628CF22}" name="Table6" displayName="Table6" ref="K10:L13" totalsRowShown="0" headerRowDxfId="23" dataDxfId="22" headerRowBorderDxfId="48" tableBorderDxfId="47" totalsRowBorderDxfId="46">
  <autoFilter ref="K10:L13" xr:uid="{C1492D13-CCD8-4589-97AE-A84FA628CF22}">
    <filterColumn colId="0" hiddenButton="1"/>
    <filterColumn colId="1" hiddenButton="1"/>
  </autoFilter>
  <tableColumns count="2">
    <tableColumn id="1" xr3:uid="{3B0F2C2B-0CB0-4CE7-A33A-64007021FCB2}" name="Column1" dataDxfId="25"/>
    <tableColumn id="2" xr3:uid="{510FF0B8-FB12-4DA9-9C70-02776FC5986A}" name="Column2" dataDxfId="24">
      <calculatedColumnFormula>VLOOKUP(A5, A3:I34, 7,FALSE)</calculatedColumnFormula>
    </tableColumn>
  </tableColumns>
  <tableStyleInfo name="TableStyleMedium14"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F0F699D4-F53B-457B-822E-2F2DAF1E2F9A}" name="Table8" displayName="Table8" ref="K25:L27" totalsRowShown="0" headerRowDxfId="19" dataDxfId="18">
  <autoFilter ref="K25:L27" xr:uid="{F0F699D4-F53B-457B-822E-2F2DAF1E2F9A}">
    <filterColumn colId="0" hiddenButton="1"/>
    <filterColumn colId="1" hiddenButton="1"/>
  </autoFilter>
  <tableColumns count="2">
    <tableColumn id="1" xr3:uid="{D688C58A-31A7-4371-82EF-C049D2E8D464}" name="IF()" dataDxfId="21"/>
    <tableColumn id="2" xr3:uid="{F6A49E73-956D-4353-8AD0-40EBCFF184D8}" name="MIXIMUM" dataDxfId="20">
      <calculatedColumnFormula>OR(I4&gt;10000, "TURE")</calculatedColumnFormula>
    </tableColumn>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17634135-E36B-4704-A6EA-982648F5FE2E}" name="Table9" displayName="Table9" ref="K30:L34" totalsRowShown="0" headerRowDxfId="15" dataDxfId="14" headerRowBorderDxfId="45" tableBorderDxfId="44" totalsRowBorderDxfId="43">
  <autoFilter ref="K30:L34" xr:uid="{17634135-E36B-4704-A6EA-982648F5FE2E}">
    <filterColumn colId="0" hiddenButton="1"/>
    <filterColumn colId="1" hiddenButton="1"/>
  </autoFilter>
  <tableColumns count="2">
    <tableColumn id="1" xr3:uid="{41E3A64C-3D90-45F4-90A0-46C4CEAEC90B}" name="Column1" dataDxfId="17"/>
    <tableColumn id="2" xr3:uid="{2E020713-ADB5-487E-8B41-DDA3C4FC265B}" name="REGION" dataDxfId="16"/>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E5C9DDF-538F-48BD-B85A-0AAF62937631}" name="Table11" displayName="Table11" ref="O4:O8" headerRowCount="0" totalsRowShown="0" headerRowDxfId="42" headerRowBorderDxfId="41" tableBorderDxfId="40" totalsRowBorderDxfId="39">
  <tableColumns count="1">
    <tableColumn id="1" xr3:uid="{39C34CE6-CDA4-4D58-A72E-50770DBDE1D6}" name="Column1" headerRowDxfId="38" dataDxfId="37"/>
  </tableColumns>
  <tableStyleInfo name="TableStyleMedium14"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57A49902-FD8F-49D3-9353-036202280B44}" name="Table10" displayName="Table10" ref="O13:O17" headerRowCount="0" totalsRowShown="0" headerRowDxfId="36" dataDxfId="35" tableBorderDxfId="34" totalsRowBorderDxfId="33">
  <tableColumns count="1">
    <tableColumn id="1" xr3:uid="{929E21B3-0B5E-49E0-BAD1-2BD481F39CD7}" name="Column1" dataDxfId="32"/>
  </tableColumns>
  <tableStyleInfo name="TableStyleMedium14"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5ED50397-372E-4BE4-885F-23B93EA88310}" name="Table5" displayName="Table5" ref="N22:O25" headerRowCount="0" totalsRowShown="0" headerRowDxfId="8" headerRowBorderDxfId="12" tableBorderDxfId="13" totalsRowBorderDxfId="11">
  <tableColumns count="2">
    <tableColumn id="1" xr3:uid="{ED246B8E-4428-4F29-BEA0-287AF045E38F}" name="Column1" headerRowDxfId="6" dataDxfId="10"/>
    <tableColumn id="2" xr3:uid="{BD95140D-BFE2-4A97-9A16-BFF7FE1A76A2}" name="Column2" headerRowDxfId="7" dataDxfId="9"/>
  </tableColumns>
  <tableStyleInfo name="TableStyleMedium1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table" Target="../tables/table4.xml"/><Relationship Id="rId13" Type="http://schemas.microsoft.com/office/2007/relationships/slicer" Target="../slicers/slicer1.xml"/><Relationship Id="rId3" Type="http://schemas.openxmlformats.org/officeDocument/2006/relationships/printerSettings" Target="../printerSettings/printerSettings1.bin"/><Relationship Id="rId7" Type="http://schemas.openxmlformats.org/officeDocument/2006/relationships/table" Target="../tables/table3.xml"/><Relationship Id="rId12" Type="http://schemas.openxmlformats.org/officeDocument/2006/relationships/table" Target="../tables/table8.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table" Target="../tables/table2.xml"/><Relationship Id="rId11" Type="http://schemas.openxmlformats.org/officeDocument/2006/relationships/table" Target="../tables/table7.xml"/><Relationship Id="rId5" Type="http://schemas.openxmlformats.org/officeDocument/2006/relationships/table" Target="../tables/table1.xml"/><Relationship Id="rId10" Type="http://schemas.openxmlformats.org/officeDocument/2006/relationships/table" Target="../tables/table6.xml"/><Relationship Id="rId4" Type="http://schemas.openxmlformats.org/officeDocument/2006/relationships/drawing" Target="../drawings/drawing1.xml"/><Relationship Id="rId9"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35"/>
  <sheetViews>
    <sheetView tabSelected="1" topLeftCell="E1" zoomScale="85" zoomScaleNormal="85" workbookViewId="0">
      <selection activeCell="M37" sqref="M37"/>
    </sheetView>
  </sheetViews>
  <sheetFormatPr defaultRowHeight="14.4" x14ac:dyDescent="0.3"/>
  <cols>
    <col min="1" max="1" width="9.88671875" customWidth="1"/>
    <col min="2" max="2" width="16.6640625" customWidth="1"/>
    <col min="3" max="10" width="17.88671875" customWidth="1"/>
    <col min="11" max="11" width="19.6640625" customWidth="1"/>
    <col min="12" max="12" width="20" bestFit="1" customWidth="1"/>
    <col min="13" max="13" width="7" customWidth="1"/>
    <col min="14" max="14" width="23.21875" customWidth="1"/>
    <col min="15" max="15" width="20.33203125" customWidth="1"/>
    <col min="16" max="16" width="13.88671875" customWidth="1"/>
    <col min="17" max="17" width="10.5546875" customWidth="1"/>
    <col min="18" max="18" width="15.109375" bestFit="1" customWidth="1"/>
  </cols>
  <sheetData>
    <row r="1" spans="1:15" ht="33.6" x14ac:dyDescent="0.65">
      <c r="A1" s="18"/>
      <c r="B1" s="19" t="s">
        <v>55</v>
      </c>
      <c r="C1" s="18"/>
      <c r="D1" s="18"/>
      <c r="E1" s="18"/>
      <c r="F1" s="18"/>
      <c r="G1" s="18"/>
      <c r="H1" s="18"/>
      <c r="I1" s="18"/>
    </row>
    <row r="2" spans="1:15" ht="25.8" x14ac:dyDescent="0.5">
      <c r="A2" s="18"/>
      <c r="B2" s="18"/>
      <c r="C2" s="20" t="s">
        <v>56</v>
      </c>
      <c r="D2" s="18"/>
      <c r="E2" s="18"/>
      <c r="F2" s="18"/>
      <c r="G2" s="18"/>
      <c r="H2" s="18"/>
      <c r="I2" s="18"/>
    </row>
    <row r="3" spans="1:15" ht="25.8" x14ac:dyDescent="0.5">
      <c r="A3" s="18"/>
      <c r="B3" s="18"/>
      <c r="C3" s="18"/>
      <c r="D3" s="18"/>
      <c r="E3" s="18"/>
      <c r="F3" s="18"/>
      <c r="G3" s="18"/>
      <c r="H3" s="18"/>
      <c r="I3" s="18"/>
      <c r="K3" s="18" t="s">
        <v>66</v>
      </c>
      <c r="L3" s="18"/>
      <c r="N3" s="20" t="s">
        <v>67</v>
      </c>
      <c r="O3" s="18"/>
    </row>
    <row r="4" spans="1:15" x14ac:dyDescent="0.3">
      <c r="A4" s="14" t="s">
        <v>0</v>
      </c>
      <c r="B4" s="15" t="s">
        <v>1</v>
      </c>
      <c r="C4" s="16" t="s">
        <v>2</v>
      </c>
      <c r="D4" s="16" t="s">
        <v>37</v>
      </c>
      <c r="E4" s="16" t="s">
        <v>38</v>
      </c>
      <c r="F4" s="16" t="s">
        <v>40</v>
      </c>
      <c r="G4" s="16" t="s">
        <v>39</v>
      </c>
      <c r="H4" s="16" t="s">
        <v>3</v>
      </c>
      <c r="I4" s="16" t="s">
        <v>48</v>
      </c>
      <c r="J4" s="5"/>
      <c r="K4" s="7" t="s">
        <v>34</v>
      </c>
      <c r="L4" s="11" t="s">
        <v>45</v>
      </c>
      <c r="N4" s="22" t="s">
        <v>70</v>
      </c>
      <c r="O4" s="23">
        <f>SUM(I:I)</f>
        <v>358035</v>
      </c>
    </row>
    <row r="5" spans="1:15" x14ac:dyDescent="0.3">
      <c r="A5" s="17">
        <v>46023</v>
      </c>
      <c r="B5" s="1" t="s">
        <v>4</v>
      </c>
      <c r="C5" s="1" t="s">
        <v>5</v>
      </c>
      <c r="D5" s="1">
        <v>30</v>
      </c>
      <c r="E5" s="1">
        <v>500</v>
      </c>
      <c r="F5" s="1">
        <v>350</v>
      </c>
      <c r="G5" s="1">
        <f>SUM(Table1[[#This Row],[Quantity]]*Table1[[#This Row],[Unit Price]])</f>
        <v>15000</v>
      </c>
      <c r="H5" s="1">
        <f t="shared" ref="H5:H34" si="0">(E5-F5)*F5</f>
        <v>52500</v>
      </c>
      <c r="I5" s="1">
        <f>(Table1[[#This Row],[Quantity]]*Table1[[#This Row],[Unit Price]])</f>
        <v>15000</v>
      </c>
      <c r="K5" s="8" t="s">
        <v>35</v>
      </c>
      <c r="L5" s="10">
        <f ca="1">NOW()</f>
        <v>46072.929510416667</v>
      </c>
      <c r="N5" s="24" t="s">
        <v>28</v>
      </c>
      <c r="O5" s="23">
        <f>AVERAGE(I:I)</f>
        <v>11934.5</v>
      </c>
    </row>
    <row r="6" spans="1:15" x14ac:dyDescent="0.3">
      <c r="A6" s="17">
        <v>46054</v>
      </c>
      <c r="B6" s="1" t="s">
        <v>6</v>
      </c>
      <c r="C6" s="1" t="s">
        <v>7</v>
      </c>
      <c r="D6" s="1">
        <v>25</v>
      </c>
      <c r="E6" s="1">
        <v>350</v>
      </c>
      <c r="F6" s="1">
        <v>200</v>
      </c>
      <c r="G6" s="1">
        <f>SUM(Table1[[#This Row],[Quantity]]*Table1[[#This Row],[Unit Price]])</f>
        <v>8750</v>
      </c>
      <c r="H6" s="1">
        <f t="shared" si="0"/>
        <v>30000</v>
      </c>
      <c r="I6" s="1">
        <f>(Table1[[#This Row],[Quantity]]*Table1[[#This Row],[Unit Price]])</f>
        <v>8750</v>
      </c>
      <c r="K6" s="9" t="s">
        <v>44</v>
      </c>
      <c r="L6" s="2">
        <v>30</v>
      </c>
      <c r="N6" s="22" t="s">
        <v>29</v>
      </c>
      <c r="O6" s="23">
        <f>MIN(I:I)</f>
        <v>3000</v>
      </c>
    </row>
    <row r="7" spans="1:15" x14ac:dyDescent="0.3">
      <c r="A7" s="17">
        <v>46082</v>
      </c>
      <c r="B7" s="1" t="s">
        <v>8</v>
      </c>
      <c r="C7" s="1" t="s">
        <v>9</v>
      </c>
      <c r="D7" s="1">
        <v>20</v>
      </c>
      <c r="E7" s="1">
        <v>400</v>
      </c>
      <c r="F7" s="1">
        <v>350</v>
      </c>
      <c r="G7" s="1">
        <f>SUM(Table1[[#This Row],[Quantity]]*Table1[[#This Row],[Unit Price]])</f>
        <v>8000</v>
      </c>
      <c r="H7" s="1">
        <f t="shared" si="0"/>
        <v>17500</v>
      </c>
      <c r="I7" s="1">
        <f>(Table1[[#This Row],[Quantity]]*Table1[[#This Row],[Unit Price]])</f>
        <v>8000</v>
      </c>
      <c r="N7" s="24" t="s">
        <v>30</v>
      </c>
      <c r="O7" s="23">
        <f>MAX(I:I)</f>
        <v>27350</v>
      </c>
    </row>
    <row r="8" spans="1:15" x14ac:dyDescent="0.3">
      <c r="A8" s="17">
        <v>46113</v>
      </c>
      <c r="B8" s="1" t="s">
        <v>6</v>
      </c>
      <c r="C8" s="1" t="s">
        <v>10</v>
      </c>
      <c r="D8" s="1">
        <v>25</v>
      </c>
      <c r="E8" s="1">
        <v>450</v>
      </c>
      <c r="F8" s="1">
        <v>300</v>
      </c>
      <c r="G8" s="1">
        <f>SUM(Table1[[#This Row],[Quantity]]*Table1[[#This Row],[Unit Price]])</f>
        <v>11250</v>
      </c>
      <c r="H8" s="1">
        <f t="shared" si="0"/>
        <v>45000</v>
      </c>
      <c r="I8" s="1">
        <f>(Table1[[#This Row],[Quantity]]*Table1[[#This Row],[Unit Price]])</f>
        <v>11250</v>
      </c>
      <c r="J8" s="3"/>
      <c r="N8" s="22" t="s">
        <v>31</v>
      </c>
      <c r="O8" s="21">
        <f>COUNT(I:I)</f>
        <v>30</v>
      </c>
    </row>
    <row r="9" spans="1:15" ht="18" x14ac:dyDescent="0.35">
      <c r="A9" s="17">
        <v>46143</v>
      </c>
      <c r="B9" s="1" t="s">
        <v>6</v>
      </c>
      <c r="C9" s="1" t="s">
        <v>10</v>
      </c>
      <c r="D9" s="1">
        <v>30</v>
      </c>
      <c r="E9" s="1">
        <v>300</v>
      </c>
      <c r="F9" s="1">
        <v>150</v>
      </c>
      <c r="G9" s="1">
        <f>SUM(Table1[[#This Row],[Quantity]]*Table1[[#This Row],[Unit Price]])</f>
        <v>9000</v>
      </c>
      <c r="H9" s="1">
        <f t="shared" si="0"/>
        <v>22500</v>
      </c>
      <c r="I9" s="1">
        <f>(Table1[[#This Row],[Quantity]]*Table1[[#This Row],[Unit Price]])</f>
        <v>9000</v>
      </c>
      <c r="J9" s="3"/>
      <c r="K9" s="33" t="s">
        <v>74</v>
      </c>
      <c r="L9" s="33"/>
    </row>
    <row r="10" spans="1:15" x14ac:dyDescent="0.3">
      <c r="A10" s="17">
        <v>46174</v>
      </c>
      <c r="B10" s="1" t="s">
        <v>11</v>
      </c>
      <c r="C10" s="1" t="s">
        <v>7</v>
      </c>
      <c r="D10" s="1">
        <v>26</v>
      </c>
      <c r="E10" s="1">
        <v>200</v>
      </c>
      <c r="F10" s="1">
        <v>100</v>
      </c>
      <c r="G10" s="1">
        <f>SUM(Table1[[#This Row],[Quantity]]*Table1[[#This Row],[Unit Price]])</f>
        <v>5200</v>
      </c>
      <c r="H10" s="1">
        <f t="shared" si="0"/>
        <v>10000</v>
      </c>
      <c r="I10" s="1">
        <f>(Table1[[#This Row],[Quantity]]*Table1[[#This Row],[Unit Price]])</f>
        <v>5200</v>
      </c>
      <c r="J10" s="3"/>
      <c r="K10" s="7" t="s">
        <v>32</v>
      </c>
      <c r="L10" s="34" t="s">
        <v>36</v>
      </c>
    </row>
    <row r="11" spans="1:15" x14ac:dyDescent="0.3">
      <c r="A11" s="17">
        <v>46204</v>
      </c>
      <c r="B11" s="1" t="s">
        <v>4</v>
      </c>
      <c r="C11" s="1" t="s">
        <v>12</v>
      </c>
      <c r="D11" s="1">
        <v>30</v>
      </c>
      <c r="E11" s="1">
        <v>100</v>
      </c>
      <c r="F11" s="1">
        <v>80</v>
      </c>
      <c r="G11" s="1">
        <f>SUM(Table1[[#This Row],[Quantity]]*Table1[[#This Row],[Unit Price]])</f>
        <v>3000</v>
      </c>
      <c r="H11" s="1">
        <f t="shared" si="0"/>
        <v>1600</v>
      </c>
      <c r="I11" s="1">
        <f>(Table1[[#This Row],[Quantity]]*Table1[[#This Row],[Unit Price]])</f>
        <v>3000</v>
      </c>
      <c r="J11" s="3"/>
      <c r="K11" s="8" t="s">
        <v>49</v>
      </c>
      <c r="L11" s="35">
        <f>VLOOKUP(A5, A3:I34, 7,FALSE)</f>
        <v>15000</v>
      </c>
    </row>
    <row r="12" spans="1:15" ht="18" x14ac:dyDescent="0.35">
      <c r="A12" s="17">
        <v>46235</v>
      </c>
      <c r="B12" s="1" t="s">
        <v>11</v>
      </c>
      <c r="C12" s="1" t="s">
        <v>5</v>
      </c>
      <c r="D12" s="1">
        <v>15</v>
      </c>
      <c r="E12" s="1">
        <v>450</v>
      </c>
      <c r="F12" s="1">
        <v>300</v>
      </c>
      <c r="G12" s="1">
        <f>SUM(Table1[[#This Row],[Quantity]]*Table1[[#This Row],[Unit Price]])</f>
        <v>6750</v>
      </c>
      <c r="H12" s="1">
        <f t="shared" si="0"/>
        <v>45000</v>
      </c>
      <c r="I12" s="1">
        <f>(Table1[[#This Row],[Quantity]]*Table1[[#This Row],[Unit Price]])</f>
        <v>6750</v>
      </c>
      <c r="J12" s="3"/>
      <c r="K12" s="8" t="s">
        <v>50</v>
      </c>
      <c r="L12" s="35">
        <f>VLOOKUP(A6, A4:I35, 7,FALSE)</f>
        <v>8750</v>
      </c>
      <c r="N12" s="18" t="s">
        <v>68</v>
      </c>
      <c r="O12" s="18"/>
    </row>
    <row r="13" spans="1:15" x14ac:dyDescent="0.3">
      <c r="A13" s="17">
        <v>46266</v>
      </c>
      <c r="B13" s="1" t="s">
        <v>4</v>
      </c>
      <c r="C13" s="1" t="s">
        <v>5</v>
      </c>
      <c r="D13" s="1">
        <v>20</v>
      </c>
      <c r="E13" s="1">
        <v>600</v>
      </c>
      <c r="F13" s="1">
        <v>500</v>
      </c>
      <c r="G13" s="1">
        <f>SUM(Table1[[#This Row],[Quantity]]*Table1[[#This Row],[Unit Price]])</f>
        <v>12000</v>
      </c>
      <c r="H13" s="1">
        <f t="shared" si="0"/>
        <v>50000</v>
      </c>
      <c r="I13" s="1">
        <f>(Table1[[#This Row],[Quantity]]*Table1[[#This Row],[Unit Price]])</f>
        <v>12000</v>
      </c>
      <c r="J13" s="3"/>
      <c r="K13" s="9" t="s">
        <v>51</v>
      </c>
      <c r="L13" s="2">
        <f>VLOOKUP(A7, A5:I36, 7,FALSE)</f>
        <v>8000</v>
      </c>
      <c r="N13" s="25" t="s">
        <v>41</v>
      </c>
      <c r="O13" s="26">
        <f>AVERAGE(I:I)</f>
        <v>11934.5</v>
      </c>
    </row>
    <row r="14" spans="1:15" x14ac:dyDescent="0.3">
      <c r="A14" s="17">
        <v>46296</v>
      </c>
      <c r="B14" s="1" t="s">
        <v>11</v>
      </c>
      <c r="C14" s="1" t="s">
        <v>5</v>
      </c>
      <c r="D14" s="1">
        <v>30</v>
      </c>
      <c r="E14" s="1">
        <v>250</v>
      </c>
      <c r="F14" s="1">
        <v>200</v>
      </c>
      <c r="G14" s="1">
        <f>SUM(Table1[[#This Row],[Quantity]]*Table1[[#This Row],[Unit Price]])</f>
        <v>7500</v>
      </c>
      <c r="H14" s="1">
        <f t="shared" si="0"/>
        <v>10000</v>
      </c>
      <c r="I14" s="1">
        <f>(Table1[[#This Row],[Quantity]]*Table1[[#This Row],[Unit Price]])</f>
        <v>7500</v>
      </c>
      <c r="J14" s="3"/>
      <c r="N14" s="24" t="s">
        <v>42</v>
      </c>
      <c r="O14" s="27" t="s">
        <v>71</v>
      </c>
    </row>
    <row r="15" spans="1:15" ht="18" x14ac:dyDescent="0.35">
      <c r="A15" s="17">
        <v>46327</v>
      </c>
      <c r="B15" s="1" t="s">
        <v>11</v>
      </c>
      <c r="C15" s="1" t="s">
        <v>7</v>
      </c>
      <c r="D15" s="1">
        <v>35</v>
      </c>
      <c r="E15" s="1">
        <v>200</v>
      </c>
      <c r="F15" s="1">
        <v>180</v>
      </c>
      <c r="G15" s="1">
        <f>SUM(Table1[[#This Row],[Quantity]]*Table1[[#This Row],[Unit Price]])</f>
        <v>7000</v>
      </c>
      <c r="H15" s="1">
        <f t="shared" si="0"/>
        <v>3600</v>
      </c>
      <c r="I15" s="1">
        <f>(Table1[[#This Row],[Quantity]]*Table1[[#This Row],[Unit Price]])</f>
        <v>7000</v>
      </c>
      <c r="J15" s="3"/>
      <c r="K15" s="18" t="s">
        <v>69</v>
      </c>
      <c r="L15" s="18"/>
      <c r="N15" s="22" t="s">
        <v>72</v>
      </c>
      <c r="O15" s="27">
        <f>MEDIAN(I:I)</f>
        <v>10150</v>
      </c>
    </row>
    <row r="16" spans="1:15" x14ac:dyDescent="0.3">
      <c r="A16" s="17">
        <v>46357</v>
      </c>
      <c r="B16" s="1" t="s">
        <v>6</v>
      </c>
      <c r="C16" s="1" t="s">
        <v>12</v>
      </c>
      <c r="D16" s="1">
        <v>40</v>
      </c>
      <c r="E16" s="1">
        <v>300</v>
      </c>
      <c r="F16" s="1">
        <v>150</v>
      </c>
      <c r="G16" s="1">
        <f>SUM(Table1[[#This Row],[Quantity]]*Table1[[#This Row],[Unit Price]])</f>
        <v>12000</v>
      </c>
      <c r="H16" s="1">
        <f t="shared" si="0"/>
        <v>22500</v>
      </c>
      <c r="I16" s="1">
        <f>(Table1[[#This Row],[Quantity]]*Table1[[#This Row],[Unit Price]])</f>
        <v>12000</v>
      </c>
      <c r="J16" s="3"/>
      <c r="K16" s="29" t="s">
        <v>46</v>
      </c>
      <c r="L16" s="1" t="s">
        <v>54</v>
      </c>
      <c r="N16" s="24" t="s">
        <v>43</v>
      </c>
      <c r="O16" s="27">
        <f>_xlfn.STDEV.P(I:I)</f>
        <v>6077.8526018652346</v>
      </c>
    </row>
    <row r="17" spans="1:15" x14ac:dyDescent="0.3">
      <c r="A17" s="6" t="s">
        <v>13</v>
      </c>
      <c r="B17" s="1" t="s">
        <v>6</v>
      </c>
      <c r="C17" s="1" t="s">
        <v>7</v>
      </c>
      <c r="D17" s="1">
        <v>50</v>
      </c>
      <c r="E17" s="1">
        <v>150</v>
      </c>
      <c r="F17" s="1">
        <v>140</v>
      </c>
      <c r="G17" s="1">
        <f>SUM(Table1[[#This Row],[Quantity]]*Table1[[#This Row],[Unit Price]])</f>
        <v>7500</v>
      </c>
      <c r="H17" s="1">
        <f t="shared" si="0"/>
        <v>1400</v>
      </c>
      <c r="I17" s="1">
        <f>(Table1[[#This Row],[Quantity]]*Table1[[#This Row],[Unit Price]])</f>
        <v>7500</v>
      </c>
      <c r="J17" s="3"/>
      <c r="K17" s="30" t="s">
        <v>6</v>
      </c>
      <c r="L17" s="30">
        <v>95020</v>
      </c>
      <c r="N17" s="22" t="s">
        <v>73</v>
      </c>
      <c r="O17" s="28">
        <f>CORREL(I:I,H:H)</f>
        <v>0.3754942588543892</v>
      </c>
    </row>
    <row r="18" spans="1:15" x14ac:dyDescent="0.3">
      <c r="A18" s="6" t="s">
        <v>14</v>
      </c>
      <c r="B18" s="1" t="s">
        <v>11</v>
      </c>
      <c r="C18" s="1" t="s">
        <v>10</v>
      </c>
      <c r="D18" s="1">
        <v>60</v>
      </c>
      <c r="E18" s="1">
        <v>400</v>
      </c>
      <c r="F18" s="1">
        <v>320</v>
      </c>
      <c r="G18" s="1">
        <f>SUM(Table1[[#This Row],[Quantity]]*Table1[[#This Row],[Unit Price]])</f>
        <v>24000</v>
      </c>
      <c r="H18" s="1">
        <f t="shared" si="0"/>
        <v>25600</v>
      </c>
      <c r="I18" s="1">
        <f>(Table1[[#This Row],[Quantity]]*Table1[[#This Row],[Unit Price]])</f>
        <v>24000</v>
      </c>
      <c r="J18" s="3"/>
      <c r="K18" s="31" t="s">
        <v>4</v>
      </c>
      <c r="L18" s="31">
        <v>109995</v>
      </c>
    </row>
    <row r="19" spans="1:15" x14ac:dyDescent="0.3">
      <c r="A19" s="6" t="s">
        <v>15</v>
      </c>
      <c r="B19" s="1" t="s">
        <v>4</v>
      </c>
      <c r="C19" s="1" t="s">
        <v>10</v>
      </c>
      <c r="D19" s="1">
        <v>24</v>
      </c>
      <c r="E19" s="1">
        <v>500</v>
      </c>
      <c r="F19" s="1">
        <v>450</v>
      </c>
      <c r="G19" s="1">
        <f>SUM(Table1[[#This Row],[Quantity]]*Table1[[#This Row],[Unit Price]])</f>
        <v>12000</v>
      </c>
      <c r="H19" s="1">
        <f t="shared" si="0"/>
        <v>22500</v>
      </c>
      <c r="I19" s="1">
        <f>(Table1[[#This Row],[Quantity]]*Table1[[#This Row],[Unit Price]])</f>
        <v>12000</v>
      </c>
      <c r="J19" s="3"/>
      <c r="K19" s="31" t="s">
        <v>11</v>
      </c>
      <c r="L19" s="31">
        <v>84475</v>
      </c>
    </row>
    <row r="20" spans="1:15" x14ac:dyDescent="0.3">
      <c r="A20" s="6" t="s">
        <v>16</v>
      </c>
      <c r="B20" s="1" t="s">
        <v>6</v>
      </c>
      <c r="C20" s="1" t="s">
        <v>10</v>
      </c>
      <c r="D20" s="1">
        <v>25</v>
      </c>
      <c r="E20" s="1">
        <v>600</v>
      </c>
      <c r="F20" s="1">
        <v>550</v>
      </c>
      <c r="G20" s="1">
        <f>SUM(Table1[[#This Row],[Quantity]]*Table1[[#This Row],[Unit Price]])</f>
        <v>15000</v>
      </c>
      <c r="H20" s="1">
        <f t="shared" si="0"/>
        <v>27500</v>
      </c>
      <c r="I20" s="1">
        <f>(Table1[[#This Row],[Quantity]]*Table1[[#This Row],[Unit Price]])</f>
        <v>15000</v>
      </c>
      <c r="J20" s="3"/>
      <c r="K20" s="32" t="s">
        <v>8</v>
      </c>
      <c r="L20" s="31">
        <v>68545</v>
      </c>
    </row>
    <row r="21" spans="1:15" ht="15.6" x14ac:dyDescent="0.3">
      <c r="A21" s="6" t="s">
        <v>17</v>
      </c>
      <c r="B21" s="1" t="s">
        <v>11</v>
      </c>
      <c r="C21" s="1" t="s">
        <v>9</v>
      </c>
      <c r="D21" s="1">
        <v>30</v>
      </c>
      <c r="E21" s="1">
        <v>350</v>
      </c>
      <c r="F21" s="1">
        <v>300</v>
      </c>
      <c r="G21" s="1">
        <f>SUM(Table1[[#This Row],[Quantity]]*Table1[[#This Row],[Unit Price]])</f>
        <v>10500</v>
      </c>
      <c r="H21" s="1">
        <f t="shared" si="0"/>
        <v>15000</v>
      </c>
      <c r="I21" s="1">
        <f>(Table1[[#This Row],[Quantity]]*Table1[[#This Row],[Unit Price]])</f>
        <v>10500</v>
      </c>
      <c r="J21" s="3"/>
      <c r="K21" s="1" t="s">
        <v>47</v>
      </c>
      <c r="L21" s="32">
        <v>358035</v>
      </c>
      <c r="N21" s="18" t="s">
        <v>81</v>
      </c>
      <c r="O21" s="18"/>
    </row>
    <row r="22" spans="1:15" x14ac:dyDescent="0.3">
      <c r="A22" s="6" t="s">
        <v>53</v>
      </c>
      <c r="B22" s="1" t="s">
        <v>8</v>
      </c>
      <c r="C22" s="1" t="s">
        <v>12</v>
      </c>
      <c r="D22" s="1">
        <v>40</v>
      </c>
      <c r="E22" s="1">
        <v>245</v>
      </c>
      <c r="F22" s="1">
        <v>220</v>
      </c>
      <c r="G22" s="1">
        <f>SUM(Table1[[#This Row],[Quantity]]*Table1[[#This Row],[Unit Price]])</f>
        <v>9800</v>
      </c>
      <c r="H22" s="1">
        <f t="shared" si="0"/>
        <v>5500</v>
      </c>
      <c r="I22" s="1">
        <f>(Table1[[#This Row],[Quantity]]*Table1[[#This Row],[Unit Price]])</f>
        <v>9800</v>
      </c>
      <c r="J22" s="3"/>
      <c r="N22" s="8" t="s">
        <v>77</v>
      </c>
      <c r="O22" s="35">
        <f>SUM(Table1[REVENUE])</f>
        <v>358035</v>
      </c>
    </row>
    <row r="23" spans="1:15" x14ac:dyDescent="0.3">
      <c r="A23" s="6" t="s">
        <v>33</v>
      </c>
      <c r="B23" s="1" t="s">
        <v>11</v>
      </c>
      <c r="C23" s="1" t="s">
        <v>7</v>
      </c>
      <c r="D23" s="1">
        <v>45</v>
      </c>
      <c r="E23" s="1">
        <v>365</v>
      </c>
      <c r="F23" s="1">
        <v>350</v>
      </c>
      <c r="G23" s="1">
        <f>SUM(Table1[[#This Row],[Quantity]]*Table1[[#This Row],[Unit Price]])</f>
        <v>16425</v>
      </c>
      <c r="H23" s="1">
        <f t="shared" si="0"/>
        <v>5250</v>
      </c>
      <c r="I23" s="1">
        <f>(Table1[[#This Row],[Quantity]]*Table1[[#This Row],[Unit Price]])</f>
        <v>16425</v>
      </c>
      <c r="J23" s="3"/>
      <c r="N23" s="8" t="s">
        <v>78</v>
      </c>
      <c r="O23" s="35">
        <f>SUM(H5:H33)</f>
        <v>604030</v>
      </c>
    </row>
    <row r="24" spans="1:15" ht="18" x14ac:dyDescent="0.35">
      <c r="A24" s="6" t="s">
        <v>18</v>
      </c>
      <c r="B24" s="1" t="s">
        <v>8</v>
      </c>
      <c r="C24" s="1" t="s">
        <v>9</v>
      </c>
      <c r="D24" s="1">
        <v>35</v>
      </c>
      <c r="E24" s="1">
        <v>245</v>
      </c>
      <c r="F24" s="1">
        <v>240</v>
      </c>
      <c r="G24" s="1">
        <f>SUM(Table1[[#This Row],[Quantity]]*Table1[[#This Row],[Unit Price]])</f>
        <v>8575</v>
      </c>
      <c r="H24" s="1">
        <f t="shared" si="0"/>
        <v>1200</v>
      </c>
      <c r="I24" s="1">
        <f>(Table1[[#This Row],[Quantity]]*Table1[[#This Row],[Unit Price]])</f>
        <v>8575</v>
      </c>
      <c r="J24" s="3"/>
      <c r="K24" s="36" t="s">
        <v>75</v>
      </c>
      <c r="L24" s="33"/>
      <c r="N24" s="8" t="s">
        <v>79</v>
      </c>
      <c r="O24" s="35">
        <f>O23/O22</f>
        <v>1.6870696998896757</v>
      </c>
    </row>
    <row r="25" spans="1:15" x14ac:dyDescent="0.3">
      <c r="A25" s="6" t="s">
        <v>19</v>
      </c>
      <c r="B25" s="1" t="s">
        <v>11</v>
      </c>
      <c r="C25" s="1" t="s">
        <v>12</v>
      </c>
      <c r="D25" s="1">
        <v>50</v>
      </c>
      <c r="E25" s="1">
        <v>142</v>
      </c>
      <c r="F25" s="1">
        <v>140</v>
      </c>
      <c r="G25" s="1">
        <f>SUM(Table1[[#This Row],[Quantity]]*Table1[[#This Row],[Unit Price]])</f>
        <v>7100</v>
      </c>
      <c r="H25" s="1">
        <f t="shared" si="0"/>
        <v>280</v>
      </c>
      <c r="I25" s="1">
        <f>(Table1[[#This Row],[Quantity]]*Table1[[#This Row],[Unit Price]])</f>
        <v>7100</v>
      </c>
      <c r="J25" s="3"/>
      <c r="K25" s="3" t="s">
        <v>57</v>
      </c>
      <c r="L25" s="3" t="s">
        <v>60</v>
      </c>
      <c r="N25" s="9" t="s">
        <v>80</v>
      </c>
      <c r="O25" s="2">
        <f>SUM(F:F)</f>
        <v>9960</v>
      </c>
    </row>
    <row r="26" spans="1:15" x14ac:dyDescent="0.3">
      <c r="A26" s="6" t="s">
        <v>20</v>
      </c>
      <c r="B26" s="1" t="s">
        <v>6</v>
      </c>
      <c r="C26" s="1" t="s">
        <v>12</v>
      </c>
      <c r="D26" s="1">
        <v>40</v>
      </c>
      <c r="E26" s="1">
        <v>356</v>
      </c>
      <c r="F26" s="1">
        <v>350</v>
      </c>
      <c r="G26" s="1">
        <f>SUM(Table1[[#This Row],[Quantity]]*Table1[[#This Row],[Unit Price]])</f>
        <v>14240</v>
      </c>
      <c r="H26" s="1">
        <f t="shared" si="0"/>
        <v>2100</v>
      </c>
      <c r="I26" s="1">
        <f>(Table1[[#This Row],[Quantity]]*Table1[[#This Row],[Unit Price]])</f>
        <v>14240</v>
      </c>
      <c r="J26" s="3"/>
      <c r="K26" s="3" t="s">
        <v>58</v>
      </c>
      <c r="L26" s="3" t="b">
        <f>AND(I5&gt;20000, "TURE")</f>
        <v>0</v>
      </c>
    </row>
    <row r="27" spans="1:15" x14ac:dyDescent="0.3">
      <c r="A27" s="6" t="s">
        <v>21</v>
      </c>
      <c r="B27" s="1" t="s">
        <v>6</v>
      </c>
      <c r="C27" s="1" t="s">
        <v>10</v>
      </c>
      <c r="D27" s="1">
        <v>30</v>
      </c>
      <c r="E27" s="1">
        <v>255</v>
      </c>
      <c r="F27" s="1">
        <v>200</v>
      </c>
      <c r="G27" s="1">
        <f>SUM(Table1[[#This Row],[Quantity]]*Table1[[#This Row],[Unit Price]])</f>
        <v>7650</v>
      </c>
      <c r="H27" s="1">
        <f t="shared" si="0"/>
        <v>11000</v>
      </c>
      <c r="I27" s="1">
        <f>(Table1[[#This Row],[Quantity]]*Table1[[#This Row],[Unit Price]])</f>
        <v>7650</v>
      </c>
      <c r="J27" s="3"/>
      <c r="K27" s="3" t="s">
        <v>59</v>
      </c>
      <c r="L27" s="3" t="b">
        <f>OR(I5&gt;10000, "TURE")</f>
        <v>1</v>
      </c>
    </row>
    <row r="28" spans="1:15" x14ac:dyDescent="0.3">
      <c r="A28" s="6" t="s">
        <v>52</v>
      </c>
      <c r="B28" s="1" t="s">
        <v>4</v>
      </c>
      <c r="C28" s="1" t="s">
        <v>10</v>
      </c>
      <c r="D28" s="1">
        <v>35</v>
      </c>
      <c r="E28" s="1">
        <v>145</v>
      </c>
      <c r="F28" s="1">
        <v>140</v>
      </c>
      <c r="G28" s="1">
        <f>SUM(Table1[[#This Row],[Quantity]]*Table1[[#This Row],[Unit Price]])</f>
        <v>5075</v>
      </c>
      <c r="H28" s="1">
        <f t="shared" si="0"/>
        <v>700</v>
      </c>
      <c r="I28" s="1">
        <f>(Table1[[#This Row],[Quantity]]*Table1[[#This Row],[Unit Price]])</f>
        <v>5075</v>
      </c>
      <c r="J28" s="3"/>
    </row>
    <row r="29" spans="1:15" ht="18" x14ac:dyDescent="0.35">
      <c r="A29" s="6" t="s">
        <v>22</v>
      </c>
      <c r="B29" s="1" t="s">
        <v>4</v>
      </c>
      <c r="C29" s="1" t="s">
        <v>5</v>
      </c>
      <c r="D29" s="1">
        <v>40</v>
      </c>
      <c r="E29" s="1">
        <v>365</v>
      </c>
      <c r="F29" s="1">
        <v>300</v>
      </c>
      <c r="G29" s="1">
        <f>SUM(Table1[[#This Row],[Quantity]]*Table1[[#This Row],[Unit Price]])</f>
        <v>14600</v>
      </c>
      <c r="H29" s="1">
        <f t="shared" si="0"/>
        <v>19500</v>
      </c>
      <c r="I29" s="1">
        <f>(Table1[[#This Row],[Quantity]]*Table1[[#This Row],[Unit Price]])</f>
        <v>14600</v>
      </c>
      <c r="J29" s="3"/>
      <c r="K29" s="18" t="s">
        <v>76</v>
      </c>
      <c r="L29" s="18"/>
      <c r="M29" s="4"/>
      <c r="N29" s="12" t="s">
        <v>46</v>
      </c>
      <c r="O29" s="6" t="s">
        <v>54</v>
      </c>
    </row>
    <row r="30" spans="1:15" x14ac:dyDescent="0.3">
      <c r="A30" s="6" t="s">
        <v>23</v>
      </c>
      <c r="B30" s="1" t="s">
        <v>4</v>
      </c>
      <c r="C30" s="1" t="s">
        <v>5</v>
      </c>
      <c r="D30" s="1">
        <v>40</v>
      </c>
      <c r="E30" s="1">
        <v>569</v>
      </c>
      <c r="F30" s="1">
        <v>500</v>
      </c>
      <c r="G30" s="1">
        <f>SUM(Table1[[#This Row],[Quantity]]*Table1[[#This Row],[Unit Price]])</f>
        <v>22760</v>
      </c>
      <c r="H30" s="1">
        <f t="shared" si="0"/>
        <v>34500</v>
      </c>
      <c r="I30" s="1">
        <f>(Table1[[#This Row],[Quantity]]*Table1[[#This Row],[Unit Price]])</f>
        <v>22760</v>
      </c>
      <c r="J30" s="3"/>
      <c r="K30" s="7" t="s">
        <v>32</v>
      </c>
      <c r="L30" s="37" t="s">
        <v>65</v>
      </c>
      <c r="N30" s="13" t="s">
        <v>5</v>
      </c>
      <c r="O30" s="38">
        <v>93430</v>
      </c>
    </row>
    <row r="31" spans="1:15" x14ac:dyDescent="0.3">
      <c r="A31" s="6" t="s">
        <v>24</v>
      </c>
      <c r="B31" s="1" t="s">
        <v>8</v>
      </c>
      <c r="C31" s="1" t="s">
        <v>10</v>
      </c>
      <c r="D31" s="1">
        <v>50</v>
      </c>
      <c r="E31" s="1">
        <v>547</v>
      </c>
      <c r="F31" s="1">
        <v>500</v>
      </c>
      <c r="G31" s="1">
        <f>SUM(Table1[[#This Row],[Quantity]]*Table1[[#This Row],[Unit Price]])</f>
        <v>27350</v>
      </c>
      <c r="H31" s="1">
        <f t="shared" si="0"/>
        <v>23500</v>
      </c>
      <c r="I31" s="1">
        <f>(Table1[[#This Row],[Quantity]]*Table1[[#This Row],[Unit Price]])</f>
        <v>27350</v>
      </c>
      <c r="J31" s="3"/>
      <c r="K31" s="8" t="s">
        <v>61</v>
      </c>
      <c r="L31" s="35" t="str">
        <f>LEFT(B7,4)</f>
        <v>West</v>
      </c>
      <c r="N31" s="13" t="s">
        <v>7</v>
      </c>
      <c r="O31" s="38">
        <v>70435</v>
      </c>
    </row>
    <row r="32" spans="1:15" x14ac:dyDescent="0.3">
      <c r="A32" s="6" t="s">
        <v>25</v>
      </c>
      <c r="B32" s="1" t="s">
        <v>4</v>
      </c>
      <c r="C32" s="1" t="s">
        <v>7</v>
      </c>
      <c r="D32" s="1">
        <v>30</v>
      </c>
      <c r="E32" s="1">
        <v>852</v>
      </c>
      <c r="F32" s="1">
        <v>800</v>
      </c>
      <c r="G32" s="1">
        <f>SUM(Table1[[#This Row],[Quantity]]*Table1[[#This Row],[Unit Price]])</f>
        <v>25560</v>
      </c>
      <c r="H32" s="1">
        <f t="shared" si="0"/>
        <v>41600</v>
      </c>
      <c r="I32" s="1">
        <f>(Table1[[#This Row],[Quantity]]*Table1[[#This Row],[Unit Price]])</f>
        <v>25560</v>
      </c>
      <c r="J32" s="3"/>
      <c r="K32" s="8" t="s">
        <v>62</v>
      </c>
      <c r="L32" s="35" t="str">
        <f>RIGHT(B30,4)</f>
        <v>orth</v>
      </c>
      <c r="N32" s="13" t="s">
        <v>9</v>
      </c>
      <c r="O32" s="38">
        <v>36705</v>
      </c>
    </row>
    <row r="33" spans="1:15" x14ac:dyDescent="0.3">
      <c r="A33" s="6" t="s">
        <v>26</v>
      </c>
      <c r="B33" s="1" t="s">
        <v>6</v>
      </c>
      <c r="C33" s="1" t="s">
        <v>9</v>
      </c>
      <c r="D33" s="1">
        <v>10</v>
      </c>
      <c r="E33" s="1">
        <v>963</v>
      </c>
      <c r="F33" s="1">
        <v>900</v>
      </c>
      <c r="G33" s="1">
        <f>SUM(Table1[[#This Row],[Quantity]]*Table1[[#This Row],[Unit Price]])</f>
        <v>9630</v>
      </c>
      <c r="H33" s="1">
        <f t="shared" si="0"/>
        <v>56700</v>
      </c>
      <c r="I33" s="1">
        <f>(Table1[[#This Row],[Quantity]]*Table1[[#This Row],[Unit Price]])</f>
        <v>9630</v>
      </c>
      <c r="J33" s="3"/>
      <c r="K33" s="8" t="s">
        <v>63</v>
      </c>
      <c r="L33" s="35" t="str">
        <f>MID(B14,2,3)</f>
        <v>out</v>
      </c>
      <c r="N33" s="13" t="s">
        <v>10</v>
      </c>
      <c r="O33" s="38">
        <v>111325</v>
      </c>
    </row>
    <row r="34" spans="1:15" x14ac:dyDescent="0.3">
      <c r="A34" s="6" t="s">
        <v>27</v>
      </c>
      <c r="B34" s="1" t="s">
        <v>8</v>
      </c>
      <c r="C34" s="1" t="s">
        <v>5</v>
      </c>
      <c r="D34" s="1">
        <v>20</v>
      </c>
      <c r="E34" s="1">
        <v>741</v>
      </c>
      <c r="F34" s="1">
        <v>700</v>
      </c>
      <c r="G34" s="1">
        <f>SUM(Table1[[#This Row],[Quantity]]*Table1[[#This Row],[Unit Price]])</f>
        <v>14820</v>
      </c>
      <c r="H34" s="1">
        <f t="shared" si="0"/>
        <v>28700</v>
      </c>
      <c r="I34" s="1">
        <f>(Table1[[#This Row],[Quantity]]*Table1[[#This Row],[Unit Price]])</f>
        <v>14820</v>
      </c>
      <c r="J34" s="3"/>
      <c r="K34" s="9" t="s">
        <v>64</v>
      </c>
      <c r="L34" s="2" t="str">
        <f>_xlfn.CONCAT(B25,C25)</f>
        <v>SouthTablet</v>
      </c>
      <c r="N34" s="13" t="s">
        <v>12</v>
      </c>
      <c r="O34" s="38">
        <v>46140</v>
      </c>
    </row>
    <row r="35" spans="1:15" x14ac:dyDescent="0.3">
      <c r="N35" s="13" t="s">
        <v>47</v>
      </c>
      <c r="O35" s="38">
        <v>358035</v>
      </c>
    </row>
  </sheetData>
  <pageMargins left="0.75" right="0.75" top="1" bottom="1" header="0.5" footer="0.5"/>
  <pageSetup orientation="portrait" r:id="rId3"/>
  <drawing r:id="rId4"/>
  <tableParts count="8">
    <tablePart r:id="rId5"/>
    <tablePart r:id="rId6"/>
    <tablePart r:id="rId7"/>
    <tablePart r:id="rId8"/>
    <tablePart r:id="rId9"/>
    <tablePart r:id="rId10"/>
    <tablePart r:id="rId11"/>
    <tablePart r:id="rId12"/>
  </tableParts>
  <extLst>
    <ext xmlns:x15="http://schemas.microsoft.com/office/spreadsheetml/2010/11/main" uri="{3A4CF648-6AED-40f4-86FF-DC5316D8AED3}">
      <x14:slicerList xmlns:x14="http://schemas.microsoft.com/office/spreadsheetml/2009/9/main">
        <x14:slicer r:id="rId1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Sales_Data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USER</cp:lastModifiedBy>
  <dcterms:created xsi:type="dcterms:W3CDTF">2026-02-13T17:17:06Z</dcterms:created>
  <dcterms:modified xsi:type="dcterms:W3CDTF">2026-02-19T16:49:42Z</dcterms:modified>
</cp:coreProperties>
</file>