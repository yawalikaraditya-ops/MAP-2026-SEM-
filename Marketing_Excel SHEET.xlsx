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5202b574d7987275/Desktop/MAP/"/>
    </mc:Choice>
  </mc:AlternateContent>
  <xr:revisionPtr revIDLastSave="3" documentId="13_ncr:1_{D7B790A3-88B6-448C-BAFE-8AD02F7530B0}" xr6:coauthVersionLast="47" xr6:coauthVersionMax="47" xr10:uidLastSave="{6AF0C187-8D33-4955-B2DD-791D163C8BF7}"/>
  <bookViews>
    <workbookView xWindow="-108" yWindow="-108" windowWidth="23256" windowHeight="13896" xr2:uid="{00000000-000D-0000-FFFF-FFFF00000000}"/>
  </bookViews>
  <sheets>
    <sheet name="Marketing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1" i="1"/>
  <c r="H14" i="1"/>
  <c r="H13" i="1"/>
  <c r="H26" i="1"/>
  <c r="H31" i="1"/>
  <c r="H21" i="1"/>
  <c r="H20" i="1"/>
  <c r="H19" i="1"/>
  <c r="H25" i="1"/>
  <c r="H39" i="1"/>
  <c r="H7" i="1"/>
  <c r="H6" i="1"/>
  <c r="H5" i="1"/>
  <c r="H4" i="1"/>
  <c r="H33" i="1"/>
  <c r="H32" i="1"/>
  <c r="H41" i="1"/>
  <c r="H40" i="1"/>
  <c r="H38" i="1"/>
  <c r="H37" i="1"/>
</calcChain>
</file>

<file path=xl/sharedStrings.xml><?xml version="1.0" encoding="utf-8"?>
<sst xmlns="http://schemas.openxmlformats.org/spreadsheetml/2006/main" count="78" uniqueCount="44">
  <si>
    <t>Campaign</t>
  </si>
  <si>
    <t>Leads Generated</t>
  </si>
  <si>
    <t>Cost (₹)</t>
  </si>
  <si>
    <t>Conversion Rate (%)</t>
  </si>
  <si>
    <t>YouTube Ads</t>
  </si>
  <si>
    <t>Facebook Ads</t>
  </si>
  <si>
    <t>Google Ads</t>
  </si>
  <si>
    <t>Email Marketing</t>
  </si>
  <si>
    <t>Instagram Campaign</t>
  </si>
  <si>
    <t>LinkedIn Campaign</t>
  </si>
  <si>
    <t>sum()</t>
  </si>
  <si>
    <t>AVERAGE()</t>
  </si>
  <si>
    <t>MAX()</t>
  </si>
  <si>
    <t>COUNT()</t>
  </si>
  <si>
    <t xml:space="preserve">OR </t>
  </si>
  <si>
    <t>AND</t>
  </si>
  <si>
    <t>IF</t>
  </si>
  <si>
    <t>LEFT()</t>
  </si>
  <si>
    <t>RIGHT()</t>
  </si>
  <si>
    <t>MID()</t>
  </si>
  <si>
    <t>CONCAT()</t>
  </si>
  <si>
    <t>MIN()</t>
  </si>
  <si>
    <t>TODAY()</t>
  </si>
  <si>
    <t>NOW()</t>
  </si>
  <si>
    <t xml:space="preserve"> DATEDIF()</t>
  </si>
  <si>
    <t>VLOOKUP()</t>
  </si>
  <si>
    <t>SR.NO</t>
  </si>
  <si>
    <t>HLOOKUP()</t>
  </si>
  <si>
    <t>XLOOKUP()</t>
  </si>
  <si>
    <t>MEAN()</t>
  </si>
  <si>
    <t>MODE()</t>
  </si>
  <si>
    <t>MEDIAN()</t>
  </si>
  <si>
    <t>STANDARD DEVIATION()</t>
  </si>
  <si>
    <t>Correlation ()</t>
  </si>
  <si>
    <r>
      <t xml:space="preserve">                                       </t>
    </r>
    <r>
      <rPr>
        <b/>
        <sz val="12"/>
        <rFont val="Calibri"/>
        <family val="2"/>
        <scheme val="minor"/>
      </rPr>
      <t>TEXT FUNCTION</t>
    </r>
  </si>
  <si>
    <t xml:space="preserve">                        STATISTICS FUNCTION</t>
  </si>
  <si>
    <t xml:space="preserve">                          LOOKUP FUNCTION</t>
  </si>
  <si>
    <t>FUNCTION</t>
  </si>
  <si>
    <t>AMT</t>
  </si>
  <si>
    <t xml:space="preserve">                                             DATE FUNCTION</t>
  </si>
  <si>
    <t>NO</t>
  </si>
  <si>
    <t xml:space="preserve">                    Marketing Data</t>
  </si>
  <si>
    <t xml:space="preserve">                 MATHEMATICS FUNCTION</t>
  </si>
  <si>
    <r>
      <t xml:space="preserve">                              </t>
    </r>
    <r>
      <rPr>
        <b/>
        <sz val="12"/>
        <rFont val="Calibri"/>
        <family val="2"/>
        <scheme val="minor"/>
      </rPr>
      <t>LOGICAL FUNCTION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</si>
</sst>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2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5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861334438458367E-2"/>
          <c:y val="0.15175707203266259"/>
          <c:w val="0.62056958143389973"/>
          <c:h val="0.6076742490522018"/>
        </c:manualLayout>
      </c:layout>
      <c:lineChart>
        <c:grouping val="standard"/>
        <c:varyColors val="0"/>
        <c:ser>
          <c:idx val="0"/>
          <c:order val="0"/>
          <c:tx>
            <c:v>Sum of Leads Generated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6"/>
              <c:pt idx="0">
                <c:v>Email Marketing</c:v>
              </c:pt>
              <c:pt idx="1">
                <c:v>Facebook Ads</c:v>
              </c:pt>
              <c:pt idx="2">
                <c:v>Google Ads</c:v>
              </c:pt>
              <c:pt idx="3">
                <c:v>Instagram Campaign</c:v>
              </c:pt>
              <c:pt idx="4">
                <c:v>LinkedIn Campaign</c:v>
              </c:pt>
              <c:pt idx="5">
                <c:v>YouTube Ads</c:v>
              </c:pt>
            </c:strLit>
          </c:cat>
          <c:val>
            <c:numLit>
              <c:formatCode>General</c:formatCode>
              <c:ptCount val="6"/>
              <c:pt idx="0">
                <c:v>1112</c:v>
              </c:pt>
              <c:pt idx="1">
                <c:v>1011</c:v>
              </c:pt>
              <c:pt idx="2">
                <c:v>1536</c:v>
              </c:pt>
              <c:pt idx="3">
                <c:v>746</c:v>
              </c:pt>
              <c:pt idx="4">
                <c:v>783</c:v>
              </c:pt>
              <c:pt idx="5">
                <c:v>294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836-4F09-B0DB-DC1483588936}"/>
            </c:ext>
          </c:extLst>
        </c:ser>
        <c:ser>
          <c:idx val="1"/>
          <c:order val="1"/>
          <c:tx>
            <c:v>Sum of Cost (₹)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6"/>
              <c:pt idx="0">
                <c:v>Email Marketing</c:v>
              </c:pt>
              <c:pt idx="1">
                <c:v>Facebook Ads</c:v>
              </c:pt>
              <c:pt idx="2">
                <c:v>Google Ads</c:v>
              </c:pt>
              <c:pt idx="3">
                <c:v>Instagram Campaign</c:v>
              </c:pt>
              <c:pt idx="4">
                <c:v>LinkedIn Campaign</c:v>
              </c:pt>
              <c:pt idx="5">
                <c:v>YouTube Ads</c:v>
              </c:pt>
            </c:strLit>
          </c:cat>
          <c:val>
            <c:numLit>
              <c:formatCode>General</c:formatCode>
              <c:ptCount val="6"/>
              <c:pt idx="0">
                <c:v>191321</c:v>
              </c:pt>
              <c:pt idx="1">
                <c:v>195503</c:v>
              </c:pt>
              <c:pt idx="2">
                <c:v>220480</c:v>
              </c:pt>
              <c:pt idx="3">
                <c:v>123847</c:v>
              </c:pt>
              <c:pt idx="4">
                <c:v>71645</c:v>
              </c:pt>
              <c:pt idx="5">
                <c:v>86176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836-4F09-B0DB-DC1483588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201792"/>
        <c:axId val="764205952"/>
      </c:lineChart>
      <c:catAx>
        <c:axId val="76420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05952"/>
        <c:crosses val="autoZero"/>
        <c:auto val="1"/>
        <c:lblAlgn val="ctr"/>
        <c:lblOffset val="100"/>
        <c:noMultiLvlLbl val="0"/>
      </c:catAx>
      <c:valAx>
        <c:axId val="7642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0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36287</xdr:rowOff>
    </xdr:from>
    <xdr:to>
      <xdr:col>5</xdr:col>
      <xdr:colOff>-1</xdr:colOff>
      <xdr:row>48</xdr:row>
      <xdr:rowOff>185058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F0139-30BD-403D-817F-9CBFC2CA2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A692E-0454-4842-99A3-7C1A15A87CAF}" name="Table1" displayName="Table1" ref="B4:E34" totalsRowShown="0" headerRowDxfId="50" dataDxfId="48" headerRowBorderDxfId="49" tableBorderDxfId="47" totalsRowBorderDxfId="46">
  <autoFilter ref="B4:E34" xr:uid="{6BDA692E-0454-4842-99A3-7C1A15A87CAF}">
    <filterColumn colId="0" hiddenButton="1"/>
    <filterColumn colId="1" hiddenButton="1"/>
    <filterColumn colId="2" hiddenButton="1"/>
    <filterColumn colId="3" hiddenButton="1"/>
  </autoFilter>
  <tableColumns count="4">
    <tableColumn id="1" xr3:uid="{E939BB03-F29D-4346-9D01-E8994A69A215}" name="Campaign" dataDxfId="45"/>
    <tableColumn id="2" xr3:uid="{D85FB1E6-B3A7-4148-B05D-FC0FC155067B}" name="Leads Generated" dataDxfId="44"/>
    <tableColumn id="3" xr3:uid="{48ED8005-C9B7-4B14-B9F2-300FF1A71A5A}" name="Cost (₹)" dataDxfId="43"/>
    <tableColumn id="4" xr3:uid="{0C683A4E-24AE-4BDA-AC50-947469B12F2F}" name="Conversion Rate (%)" dataDxfId="4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6546FA-898B-4ECC-9ACD-925E07B97675}" name="Table2" displayName="Table2" ref="A4:A34" totalsRowShown="0" headerRowDxfId="41" dataDxfId="39" headerRowBorderDxfId="40" tableBorderDxfId="38" totalsRowBorderDxfId="37">
  <autoFilter ref="A4:A34" xr:uid="{336546FA-898B-4ECC-9ACD-925E07B97675}">
    <filterColumn colId="0" hiddenButton="1"/>
  </autoFilter>
  <tableColumns count="1">
    <tableColumn id="1" xr3:uid="{523284FB-EE7E-4500-92BB-EA4F0F58113F}" name="SR.NO" dataDxfId="36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1125C0-5737-40D9-BA38-22D6F9C41C6D}" name="Table3" displayName="Table3" ref="G3:H7" totalsRowShown="0" headerRowDxfId="13" dataDxfId="12" headerRowBorderDxfId="35" tableBorderDxfId="34" totalsRowBorderDxfId="33">
  <autoFilter ref="G3:H7" xr:uid="{6A1125C0-5737-40D9-BA38-22D6F9C41C6D}">
    <filterColumn colId="0" hiddenButton="1"/>
    <filterColumn colId="1" hiddenButton="1"/>
  </autoFilter>
  <tableColumns count="2">
    <tableColumn id="1" xr3:uid="{4D619220-B2F3-4C6F-BACA-F32AB5BBBFB4}" name="FUNCTION" dataDxfId="15"/>
    <tableColumn id="2" xr3:uid="{28BA5D26-163C-4F2C-B2F8-2D9C5F0418E1}" name="AMT" dataDxfId="14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6276E4-01E5-4C01-9832-2FFFCE603E02}" name="Table4" displayName="Table4" ref="G36:H41" totalsRowShown="0" headerRowDxfId="5" dataDxfId="4" headerRowBorderDxfId="32" tableBorderDxfId="31" totalsRowBorderDxfId="30">
  <autoFilter ref="G36:H41" xr:uid="{AC6276E4-01E5-4C01-9832-2FFFCE603E02}">
    <filterColumn colId="0" hiddenButton="1"/>
    <filterColumn colId="1" hiddenButton="1"/>
  </autoFilter>
  <tableColumns count="2">
    <tableColumn id="1" xr3:uid="{D1C0524F-88B1-48C5-A71C-F14ED5E43109}" name="FUNCTION" dataDxfId="7"/>
    <tableColumn id="2" xr3:uid="{7C8FCCE5-64B0-465E-88A9-B87748FDED61}" name="AMT" dataDxfId="6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DA954E-550A-41CA-B93D-64CA1350EDED}" name="Table6" displayName="Table6" ref="G30:H33" totalsRowShown="0" headerRowDxfId="1" dataDxfId="0" tableBorderDxfId="29">
  <autoFilter ref="G30:H33" xr:uid="{93DA954E-550A-41CA-B93D-64CA1350EDED}">
    <filterColumn colId="0" hiddenButton="1"/>
    <filterColumn colId="1" hiddenButton="1"/>
  </autoFilter>
  <tableColumns count="2">
    <tableColumn id="1" xr3:uid="{3F8EBC3D-2F4C-4430-9C75-78DBD3EC9AFC}" name="FUNCTION" dataDxfId="3"/>
    <tableColumn id="2" xr3:uid="{121F390A-2EBA-4F16-933E-AF95F2B16546}" name="AMT" dataDxfId="2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6BDEB9-9B42-4CA4-A77E-447A7886749A}" name="Table7" displayName="Table7" ref="G24:H27" totalsRowShown="0" headerRowDxfId="17" dataDxfId="16">
  <autoFilter ref="G24:H27" xr:uid="{C16BDEB9-9B42-4CA4-A77E-447A7886749A}">
    <filterColumn colId="0" hiddenButton="1"/>
    <filterColumn colId="1" hiddenButton="1"/>
  </autoFilter>
  <tableColumns count="2">
    <tableColumn id="1" xr3:uid="{82590540-8334-4545-99EA-C39BA16A4237}" name="FUNCTION" dataDxfId="19"/>
    <tableColumn id="2" xr3:uid="{45258300-4D6E-42D0-AD67-81F768F13C87}" name="AMT" dataDxfId="18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0C126B-4BFC-4F02-AFF1-5A51CE6F44FB}" name="Table8" displayName="Table8" ref="G18:H21" totalsRowShown="0" headerRowDxfId="28" headerRowBorderDxfId="27" tableBorderDxfId="26" totalsRowBorderDxfId="25">
  <autoFilter ref="G18:H21" xr:uid="{2A0C126B-4BFC-4F02-AFF1-5A51CE6F44FB}">
    <filterColumn colId="0" hiddenButton="1"/>
    <filterColumn colId="1" hiddenButton="1"/>
  </autoFilter>
  <tableColumns count="2">
    <tableColumn id="1" xr3:uid="{DE323F1A-263F-4208-8DB7-E6FB2863B7F3}" name="FUNCTION" dataDxfId="21"/>
    <tableColumn id="2" xr3:uid="{24314913-7D6D-4EC9-BB00-73F6D6F61B73}" name="AMT" dataDxfId="20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1D86C3-C379-4D88-85F6-FEB4B445C8AC}" name="Table9" displayName="Table9" ref="G10:H15" totalsRowShown="0" headerRowDxfId="9" dataDxfId="8" headerRowBorderDxfId="24" tableBorderDxfId="23" totalsRowBorderDxfId="22">
  <autoFilter ref="G10:H15" xr:uid="{1E1D86C3-C379-4D88-85F6-FEB4B445C8AC}">
    <filterColumn colId="0" hiddenButton="1"/>
    <filterColumn colId="1" hiddenButton="1"/>
  </autoFilter>
  <tableColumns count="2">
    <tableColumn id="1" xr3:uid="{F0B9DD65-994B-4FBA-9EE5-2F5D31B22179}" name="FUNCTION" dataDxfId="11"/>
    <tableColumn id="2" xr3:uid="{6DE8E2A7-837C-40A1-A546-D002276DE621}" name="AMT" dataDxfId="1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topLeftCell="A18" zoomScale="84" zoomScaleNormal="100" workbookViewId="0">
      <selection activeCell="A4" sqref="A4:E34"/>
    </sheetView>
  </sheetViews>
  <sheetFormatPr defaultColWidth="14.44140625" defaultRowHeight="15" customHeight="1" x14ac:dyDescent="0.3"/>
  <cols>
    <col min="2" max="2" width="22.109375" customWidth="1"/>
    <col min="3" max="3" width="19.21875" customWidth="1"/>
    <col min="4" max="4" width="14.109375" customWidth="1"/>
    <col min="5" max="5" width="19.77734375" customWidth="1"/>
    <col min="6" max="6" width="8.6640625" customWidth="1"/>
    <col min="7" max="7" width="23.21875" customWidth="1"/>
    <col min="8" max="8" width="22" customWidth="1"/>
    <col min="9" max="9" width="11.77734375" customWidth="1"/>
    <col min="10" max="11" width="8.6640625" customWidth="1"/>
    <col min="13" max="13" width="15.109375" bestFit="1" customWidth="1"/>
  </cols>
  <sheetData>
    <row r="1" spans="1:8" ht="6.6" customHeight="1" x14ac:dyDescent="0.3">
      <c r="A1" s="14"/>
      <c r="B1" s="14"/>
      <c r="C1" s="14"/>
      <c r="D1" s="14"/>
      <c r="E1" s="14"/>
    </row>
    <row r="2" spans="1:8" ht="23.4" customHeight="1" x14ac:dyDescent="0.4">
      <c r="A2" s="14"/>
      <c r="B2" s="26" t="s">
        <v>41</v>
      </c>
      <c r="C2" s="14"/>
      <c r="D2" s="14"/>
      <c r="E2" s="14"/>
      <c r="G2" s="13" t="s">
        <v>34</v>
      </c>
      <c r="H2" s="14"/>
    </row>
    <row r="3" spans="1:8" ht="15" customHeight="1" x14ac:dyDescent="0.3">
      <c r="A3" s="14"/>
      <c r="B3" s="14"/>
      <c r="C3" s="14"/>
      <c r="D3" s="14"/>
      <c r="E3" s="14"/>
      <c r="G3" s="16" t="s">
        <v>37</v>
      </c>
      <c r="H3" s="17" t="s">
        <v>38</v>
      </c>
    </row>
    <row r="4" spans="1:8" ht="14.4" x14ac:dyDescent="0.3">
      <c r="A4" s="10" t="s">
        <v>26</v>
      </c>
      <c r="B4" s="1" t="s">
        <v>0</v>
      </c>
      <c r="C4" s="2" t="s">
        <v>1</v>
      </c>
      <c r="D4" s="2" t="s">
        <v>2</v>
      </c>
      <c r="E4" s="3" t="s">
        <v>3</v>
      </c>
      <c r="G4" s="4" t="s">
        <v>17</v>
      </c>
      <c r="H4" s="6" t="str">
        <f>LEFT(B5,3)</f>
        <v>You</v>
      </c>
    </row>
    <row r="5" spans="1:8" ht="14.4" x14ac:dyDescent="0.3">
      <c r="A5" s="11">
        <v>1</v>
      </c>
      <c r="B5" s="4" t="s">
        <v>4</v>
      </c>
      <c r="C5" s="5">
        <v>78</v>
      </c>
      <c r="D5" s="5">
        <v>45559</v>
      </c>
      <c r="E5" s="6">
        <v>6.39</v>
      </c>
      <c r="G5" s="4" t="s">
        <v>18</v>
      </c>
      <c r="H5" s="6" t="str">
        <f>RIGHT(B5,3)</f>
        <v>Ads</v>
      </c>
    </row>
    <row r="6" spans="1:8" ht="14.4" x14ac:dyDescent="0.3">
      <c r="A6" s="11">
        <v>2</v>
      </c>
      <c r="B6" s="4" t="s">
        <v>5</v>
      </c>
      <c r="C6" s="5">
        <v>288</v>
      </c>
      <c r="D6" s="5">
        <v>22882</v>
      </c>
      <c r="E6" s="6">
        <v>9.4499999999999993</v>
      </c>
      <c r="G6" s="4" t="s">
        <v>19</v>
      </c>
      <c r="H6" s="6" t="str">
        <f>MID(B5,2,3)</f>
        <v>ouT</v>
      </c>
    </row>
    <row r="7" spans="1:8" ht="14.4" x14ac:dyDescent="0.3">
      <c r="A7" s="11">
        <v>3</v>
      </c>
      <c r="B7" s="4" t="s">
        <v>6</v>
      </c>
      <c r="C7" s="5">
        <v>60</v>
      </c>
      <c r="D7" s="5">
        <v>19515</v>
      </c>
      <c r="E7" s="6">
        <v>7.01</v>
      </c>
      <c r="G7" s="7" t="s">
        <v>20</v>
      </c>
      <c r="H7" s="9" t="str">
        <f>_xlfn.CONCAT(B5,C5)</f>
        <v>YouTube Ads78</v>
      </c>
    </row>
    <row r="8" spans="1:8" ht="14.4" x14ac:dyDescent="0.3">
      <c r="A8" s="11">
        <v>4</v>
      </c>
      <c r="B8" s="4" t="s">
        <v>7</v>
      </c>
      <c r="C8" s="5">
        <v>93</v>
      </c>
      <c r="D8" s="5">
        <v>38210</v>
      </c>
      <c r="E8" s="6">
        <v>18.39</v>
      </c>
    </row>
    <row r="9" spans="1:8" ht="15.6" x14ac:dyDescent="0.3">
      <c r="A9" s="11">
        <v>5</v>
      </c>
      <c r="B9" s="4" t="s">
        <v>6</v>
      </c>
      <c r="C9" s="5">
        <v>274</v>
      </c>
      <c r="D9" s="5">
        <v>33392</v>
      </c>
      <c r="E9" s="6">
        <v>16.38</v>
      </c>
      <c r="G9" s="15" t="s">
        <v>35</v>
      </c>
      <c r="H9" s="14"/>
    </row>
    <row r="10" spans="1:8" ht="14.4" x14ac:dyDescent="0.3">
      <c r="A10" s="11">
        <v>6</v>
      </c>
      <c r="B10" s="4" t="s">
        <v>5</v>
      </c>
      <c r="C10" s="5">
        <v>79</v>
      </c>
      <c r="D10" s="5">
        <v>15538</v>
      </c>
      <c r="E10" s="6">
        <v>10.99</v>
      </c>
      <c r="G10" s="16" t="s">
        <v>37</v>
      </c>
      <c r="H10" s="17" t="s">
        <v>38</v>
      </c>
    </row>
    <row r="11" spans="1:8" ht="14.4" x14ac:dyDescent="0.3">
      <c r="A11" s="11">
        <v>7</v>
      </c>
      <c r="B11" s="4" t="s">
        <v>5</v>
      </c>
      <c r="C11" s="5">
        <v>142</v>
      </c>
      <c r="D11" s="5">
        <v>19227</v>
      </c>
      <c r="E11" s="6">
        <v>9.23</v>
      </c>
      <c r="G11" s="23" t="s">
        <v>29</v>
      </c>
      <c r="H11" s="6">
        <f>AVERAGE(Table1[Cost (₹)])</f>
        <v>29632.400000000001</v>
      </c>
    </row>
    <row r="12" spans="1:8" ht="14.4" x14ac:dyDescent="0.3">
      <c r="A12" s="11">
        <v>8</v>
      </c>
      <c r="B12" s="4" t="s">
        <v>8</v>
      </c>
      <c r="C12" s="5">
        <v>272</v>
      </c>
      <c r="D12" s="5">
        <v>46629</v>
      </c>
      <c r="E12" s="6">
        <v>9.09</v>
      </c>
      <c r="G12" s="23" t="s">
        <v>30</v>
      </c>
      <c r="H12" s="24" t="s">
        <v>40</v>
      </c>
    </row>
    <row r="13" spans="1:8" ht="14.4" x14ac:dyDescent="0.3">
      <c r="A13" s="11">
        <v>9</v>
      </c>
      <c r="B13" s="4" t="s">
        <v>5</v>
      </c>
      <c r="C13" s="5">
        <v>50</v>
      </c>
      <c r="D13" s="5">
        <v>40541</v>
      </c>
      <c r="E13" s="6">
        <v>7.05</v>
      </c>
      <c r="G13" s="23" t="s">
        <v>31</v>
      </c>
      <c r="H13" s="6">
        <f>MEDIAN(Table1[Cost (₹)])</f>
        <v>31356</v>
      </c>
    </row>
    <row r="14" spans="1:8" ht="14.4" x14ac:dyDescent="0.3">
      <c r="A14" s="11">
        <v>10</v>
      </c>
      <c r="B14" s="4" t="s">
        <v>9</v>
      </c>
      <c r="C14" s="5">
        <v>239</v>
      </c>
      <c r="D14" s="5">
        <v>13705</v>
      </c>
      <c r="E14" s="6">
        <v>19.48</v>
      </c>
      <c r="G14" s="23" t="s">
        <v>32</v>
      </c>
      <c r="H14" s="6">
        <f>_xlfn.STDEV.P(Table1[Cost (₹)])</f>
        <v>12645.702618149246</v>
      </c>
    </row>
    <row r="15" spans="1:8" ht="14.4" x14ac:dyDescent="0.3">
      <c r="A15" s="11">
        <v>11</v>
      </c>
      <c r="B15" s="4" t="s">
        <v>6</v>
      </c>
      <c r="C15" s="5">
        <v>132</v>
      </c>
      <c r="D15" s="5">
        <v>11674</v>
      </c>
      <c r="E15" s="6">
        <v>7.93</v>
      </c>
      <c r="G15" s="25" t="s">
        <v>33</v>
      </c>
      <c r="H15" s="9">
        <f>CORREL(C:C,D:D)</f>
        <v>0.29416057866115147</v>
      </c>
    </row>
    <row r="16" spans="1:8" ht="14.4" x14ac:dyDescent="0.3">
      <c r="A16" s="11">
        <v>12</v>
      </c>
      <c r="B16" s="4" t="s">
        <v>4</v>
      </c>
      <c r="C16" s="5">
        <v>77</v>
      </c>
      <c r="D16" s="5">
        <v>10640</v>
      </c>
      <c r="E16" s="6">
        <v>10.26</v>
      </c>
    </row>
    <row r="17" spans="1:8" ht="15.6" x14ac:dyDescent="0.3">
      <c r="A17" s="11">
        <v>13</v>
      </c>
      <c r="B17" s="4" t="s">
        <v>6</v>
      </c>
      <c r="C17" s="5">
        <v>206</v>
      </c>
      <c r="D17" s="5">
        <v>44245</v>
      </c>
      <c r="E17" s="6">
        <v>11.69</v>
      </c>
      <c r="G17" s="15" t="s">
        <v>36</v>
      </c>
      <c r="H17" s="14"/>
    </row>
    <row r="18" spans="1:8" ht="14.4" x14ac:dyDescent="0.3">
      <c r="A18" s="11">
        <v>14</v>
      </c>
      <c r="B18" s="4" t="s">
        <v>8</v>
      </c>
      <c r="C18" s="5">
        <v>272</v>
      </c>
      <c r="D18" s="5">
        <v>48374</v>
      </c>
      <c r="E18" s="6">
        <v>18.510000000000002</v>
      </c>
      <c r="G18" s="16" t="s">
        <v>37</v>
      </c>
      <c r="H18" s="17" t="s">
        <v>38</v>
      </c>
    </row>
    <row r="19" spans="1:8" ht="14.4" x14ac:dyDescent="0.3">
      <c r="A19" s="11">
        <v>15</v>
      </c>
      <c r="B19" s="4" t="s">
        <v>5</v>
      </c>
      <c r="C19" s="5">
        <v>280</v>
      </c>
      <c r="D19" s="5">
        <v>49929</v>
      </c>
      <c r="E19" s="6">
        <v>16.63</v>
      </c>
      <c r="G19" s="4" t="s">
        <v>25</v>
      </c>
      <c r="H19" s="6">
        <f>VLOOKUP(A5,A5:E34,4,FALSE)</f>
        <v>45559</v>
      </c>
    </row>
    <row r="20" spans="1:8" ht="14.4" x14ac:dyDescent="0.3">
      <c r="A20" s="11">
        <v>16</v>
      </c>
      <c r="B20" s="4" t="s">
        <v>6</v>
      </c>
      <c r="C20" s="5">
        <v>181</v>
      </c>
      <c r="D20" s="5">
        <v>22042</v>
      </c>
      <c r="E20" s="6">
        <v>18.7</v>
      </c>
      <c r="G20" s="4" t="s">
        <v>27</v>
      </c>
      <c r="H20" s="6">
        <f>HLOOKUP(A5,A5:E34,4,FALSE)</f>
        <v>4</v>
      </c>
    </row>
    <row r="21" spans="1:8" ht="14.4" x14ac:dyDescent="0.3">
      <c r="A21" s="11">
        <v>17</v>
      </c>
      <c r="B21" s="4" t="s">
        <v>9</v>
      </c>
      <c r="C21" s="5">
        <v>279</v>
      </c>
      <c r="D21" s="5">
        <v>22334</v>
      </c>
      <c r="E21" s="6">
        <v>16.5</v>
      </c>
      <c r="G21" s="7" t="s">
        <v>28</v>
      </c>
      <c r="H21" s="9">
        <f>VLOOKUP(A5, A5:E34, 5,FALSE)</f>
        <v>6.39</v>
      </c>
    </row>
    <row r="22" spans="1:8" ht="14.4" x14ac:dyDescent="0.3">
      <c r="A22" s="11">
        <v>18</v>
      </c>
      <c r="B22" s="4" t="s">
        <v>7</v>
      </c>
      <c r="C22" s="5">
        <v>216</v>
      </c>
      <c r="D22" s="5">
        <v>41318</v>
      </c>
      <c r="E22" s="6">
        <v>15.16</v>
      </c>
    </row>
    <row r="23" spans="1:8" ht="15.6" x14ac:dyDescent="0.3">
      <c r="A23" s="11">
        <v>19</v>
      </c>
      <c r="B23" s="4" t="s">
        <v>4</v>
      </c>
      <c r="C23" s="5">
        <v>139</v>
      </c>
      <c r="D23" s="5">
        <v>29977</v>
      </c>
      <c r="E23" s="6">
        <v>13.99</v>
      </c>
      <c r="G23" s="18" t="s">
        <v>39</v>
      </c>
      <c r="H23" s="19"/>
    </row>
    <row r="24" spans="1:8" ht="15.75" customHeight="1" x14ac:dyDescent="0.3">
      <c r="A24" s="11">
        <v>20</v>
      </c>
      <c r="B24" s="4" t="s">
        <v>8</v>
      </c>
      <c r="C24" s="5">
        <v>79</v>
      </c>
      <c r="D24" s="5">
        <v>10078</v>
      </c>
      <c r="E24" s="6">
        <v>12.74</v>
      </c>
      <c r="G24" s="20" t="s">
        <v>37</v>
      </c>
      <c r="H24" s="20" t="s">
        <v>38</v>
      </c>
    </row>
    <row r="25" spans="1:8" ht="15.75" customHeight="1" x14ac:dyDescent="0.3">
      <c r="A25" s="11">
        <v>21</v>
      </c>
      <c r="B25" s="4" t="s">
        <v>6</v>
      </c>
      <c r="C25" s="5">
        <v>236</v>
      </c>
      <c r="D25" s="5">
        <v>13322</v>
      </c>
      <c r="E25" s="6">
        <v>9.4600000000000009</v>
      </c>
      <c r="G25" s="5" t="s">
        <v>22</v>
      </c>
      <c r="H25" s="21">
        <f ca="1">TODAY()</f>
        <v>46069</v>
      </c>
    </row>
    <row r="26" spans="1:8" ht="15.75" customHeight="1" x14ac:dyDescent="0.3">
      <c r="A26" s="11">
        <v>22</v>
      </c>
      <c r="B26" s="4" t="s">
        <v>5</v>
      </c>
      <c r="C26" s="5">
        <v>172</v>
      </c>
      <c r="D26" s="5">
        <v>47386</v>
      </c>
      <c r="E26" s="6">
        <v>13.47</v>
      </c>
      <c r="G26" s="5" t="s">
        <v>23</v>
      </c>
      <c r="H26" s="22">
        <f ca="1">NOW()</f>
        <v>46069.867781944442</v>
      </c>
    </row>
    <row r="27" spans="1:8" ht="15.75" customHeight="1" x14ac:dyDescent="0.3">
      <c r="A27" s="11">
        <v>23</v>
      </c>
      <c r="B27" s="4" t="s">
        <v>7</v>
      </c>
      <c r="C27" s="5">
        <v>250</v>
      </c>
      <c r="D27" s="5">
        <v>34735</v>
      </c>
      <c r="E27" s="6">
        <v>19.11</v>
      </c>
      <c r="G27" s="5" t="s">
        <v>24</v>
      </c>
      <c r="H27" s="5">
        <v>30</v>
      </c>
    </row>
    <row r="28" spans="1:8" ht="15.75" customHeight="1" x14ac:dyDescent="0.3">
      <c r="A28" s="11">
        <v>24</v>
      </c>
      <c r="B28" s="4" t="s">
        <v>7</v>
      </c>
      <c r="C28" s="5">
        <v>159</v>
      </c>
      <c r="D28" s="5">
        <v>32735</v>
      </c>
      <c r="E28" s="6">
        <v>9.16</v>
      </c>
    </row>
    <row r="29" spans="1:8" ht="15.75" customHeight="1" x14ac:dyDescent="0.3">
      <c r="A29" s="11">
        <v>25</v>
      </c>
      <c r="B29" s="4" t="s">
        <v>8</v>
      </c>
      <c r="C29" s="5">
        <v>123</v>
      </c>
      <c r="D29" s="5">
        <v>18766</v>
      </c>
      <c r="E29" s="6">
        <v>10.41</v>
      </c>
      <c r="G29" s="13" t="s">
        <v>43</v>
      </c>
      <c r="H29" s="14"/>
    </row>
    <row r="30" spans="1:8" ht="15.75" customHeight="1" x14ac:dyDescent="0.3">
      <c r="A30" s="11">
        <v>26</v>
      </c>
      <c r="B30" s="4" t="s">
        <v>9</v>
      </c>
      <c r="C30" s="5">
        <v>265</v>
      </c>
      <c r="D30" s="5">
        <v>35606</v>
      </c>
      <c r="E30" s="6">
        <v>6.4</v>
      </c>
      <c r="G30" s="27" t="s">
        <v>37</v>
      </c>
      <c r="H30" s="27" t="s">
        <v>38</v>
      </c>
    </row>
    <row r="31" spans="1:8" ht="15.75" customHeight="1" x14ac:dyDescent="0.3">
      <c r="A31" s="11">
        <v>27</v>
      </c>
      <c r="B31" s="4" t="s">
        <v>7</v>
      </c>
      <c r="C31" s="5">
        <v>97</v>
      </c>
      <c r="D31" s="5">
        <v>19741</v>
      </c>
      <c r="E31" s="6">
        <v>5.03</v>
      </c>
      <c r="G31" s="5" t="s">
        <v>16</v>
      </c>
      <c r="H31" s="5" t="str">
        <f>IF(D5&gt;40000,"MAXIMUM")</f>
        <v>MAXIMUM</v>
      </c>
    </row>
    <row r="32" spans="1:8" ht="15.75" customHeight="1" x14ac:dyDescent="0.3">
      <c r="A32" s="11">
        <v>28</v>
      </c>
      <c r="B32" s="4" t="s">
        <v>7</v>
      </c>
      <c r="C32" s="5">
        <v>297</v>
      </c>
      <c r="D32" s="5">
        <v>24582</v>
      </c>
      <c r="E32" s="6">
        <v>12.8</v>
      </c>
      <c r="G32" s="5" t="s">
        <v>14</v>
      </c>
      <c r="H32" s="5" t="b">
        <f>OR(D5&gt;50000,"TURE")</f>
        <v>0</v>
      </c>
    </row>
    <row r="33" spans="1:8" ht="15.75" customHeight="1" x14ac:dyDescent="0.3">
      <c r="A33" s="11">
        <v>29</v>
      </c>
      <c r="B33" s="4" t="s">
        <v>6</v>
      </c>
      <c r="C33" s="5">
        <v>157</v>
      </c>
      <c r="D33" s="5">
        <v>40473</v>
      </c>
      <c r="E33" s="6">
        <v>10.66</v>
      </c>
      <c r="G33" s="8" t="s">
        <v>15</v>
      </c>
      <c r="H33" s="8" t="b">
        <f>AND(D5&gt;50000,"TURE")</f>
        <v>0</v>
      </c>
    </row>
    <row r="34" spans="1:8" ht="15.75" customHeight="1" x14ac:dyDescent="0.3">
      <c r="A34" s="12">
        <v>30</v>
      </c>
      <c r="B34" s="7" t="s">
        <v>6</v>
      </c>
      <c r="C34" s="8">
        <v>290</v>
      </c>
      <c r="D34" s="8">
        <v>35817</v>
      </c>
      <c r="E34" s="9">
        <v>18.63</v>
      </c>
    </row>
    <row r="35" spans="1:8" ht="15.75" customHeight="1" x14ac:dyDescent="0.3">
      <c r="G35" s="15" t="s">
        <v>42</v>
      </c>
      <c r="H35" s="14"/>
    </row>
    <row r="36" spans="1:8" ht="15.75" customHeight="1" x14ac:dyDescent="0.3">
      <c r="G36" s="16" t="s">
        <v>37</v>
      </c>
      <c r="H36" s="17" t="s">
        <v>38</v>
      </c>
    </row>
    <row r="37" spans="1:8" ht="15.75" customHeight="1" x14ac:dyDescent="0.3">
      <c r="G37" s="4" t="s">
        <v>10</v>
      </c>
      <c r="H37" s="6">
        <f>SUM(D5:D34)</f>
        <v>888972</v>
      </c>
    </row>
    <row r="38" spans="1:8" ht="15.75" customHeight="1" x14ac:dyDescent="0.3">
      <c r="G38" s="4" t="s">
        <v>11</v>
      </c>
      <c r="H38" s="6">
        <f>AVERAGE(Table1[Cost (₹)])</f>
        <v>29632.400000000001</v>
      </c>
    </row>
    <row r="39" spans="1:8" ht="15.75" customHeight="1" x14ac:dyDescent="0.3">
      <c r="G39" s="4" t="s">
        <v>21</v>
      </c>
      <c r="H39" s="6">
        <f>MIN(Table1[Cost (₹)])</f>
        <v>10078</v>
      </c>
    </row>
    <row r="40" spans="1:8" ht="15.75" customHeight="1" x14ac:dyDescent="0.3">
      <c r="G40" s="4" t="s">
        <v>12</v>
      </c>
      <c r="H40" s="6">
        <f>MAX(Table1[Cost (₹)])</f>
        <v>49929</v>
      </c>
    </row>
    <row r="41" spans="1:8" ht="15.75" customHeight="1" x14ac:dyDescent="0.3">
      <c r="G41" s="7" t="s">
        <v>13</v>
      </c>
      <c r="H41" s="9">
        <f>COUNT(D5:D34)</f>
        <v>30</v>
      </c>
    </row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</sheetData>
  <pageMargins left="0.75" right="0.75" top="1" bottom="1" header="0" footer="0"/>
  <pageSetup orientation="landscape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adya yawalikar</cp:lastModifiedBy>
  <dcterms:created xsi:type="dcterms:W3CDTF">2026-02-15T13:56:26Z</dcterms:created>
  <dcterms:modified xsi:type="dcterms:W3CDTF">2026-02-16T15:19:40Z</dcterms:modified>
</cp:coreProperties>
</file>