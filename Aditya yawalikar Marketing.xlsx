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https://d.docs.live.net/5202b574d7987275/Desktop/"/>
    </mc:Choice>
  </mc:AlternateContent>
  <xr:revisionPtr revIDLastSave="0" documentId="14_{9E184FD9-6F1B-43E3-87A1-60782CD81FE6}" xr6:coauthVersionLast="47" xr6:coauthVersionMax="47" xr10:uidLastSave="{00000000-0000-0000-0000-000000000000}"/>
  <bookViews>
    <workbookView xWindow="-108" yWindow="-108" windowWidth="23256" windowHeight="13896" xr2:uid="{00000000-000D-0000-FFFF-FFFF00000000}"/>
  </bookViews>
  <sheets>
    <sheet name="Marketing Data" sheetId="1" r:id="rId1"/>
  </sheets>
  <definedNames>
    <definedName name="Slicer_Campaign">#N/A</definedName>
  </definedNames>
  <calcPr calcId="191029"/>
  <pivotCaches>
    <pivotCache cacheId="6" r:id="rId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1" i="1" l="1"/>
  <c r="H26" i="1" l="1"/>
  <c r="H22" i="1"/>
  <c r="H25" i="1"/>
  <c r="H24" i="1"/>
  <c r="H37" i="1"/>
  <c r="K22" i="1"/>
  <c r="H32" i="1"/>
  <c r="H31" i="1"/>
  <c r="H30" i="1"/>
  <c r="H36" i="1"/>
  <c r="K16" i="1"/>
  <c r="H18" i="1"/>
  <c r="H17" i="1"/>
  <c r="H16" i="1"/>
  <c r="H15" i="1"/>
  <c r="K24" i="1"/>
  <c r="K23" i="1"/>
  <c r="K18" i="1"/>
  <c r="K17" i="1"/>
  <c r="K15" i="1"/>
  <c r="K14" i="1"/>
</calcChain>
</file>

<file path=xl/sharedStrings.xml><?xml version="1.0" encoding="utf-8"?>
<sst xmlns="http://schemas.openxmlformats.org/spreadsheetml/2006/main" count="89" uniqueCount="49">
  <si>
    <t>Campaign</t>
  </si>
  <si>
    <t>Leads Generated</t>
  </si>
  <si>
    <t>Cost (₹)</t>
  </si>
  <si>
    <t>Conversion Rate (%)</t>
  </si>
  <si>
    <t>YouTube Ads</t>
  </si>
  <si>
    <t>Facebook Ads</t>
  </si>
  <si>
    <t>Google Ads</t>
  </si>
  <si>
    <t>Email Marketing</t>
  </si>
  <si>
    <t>Instagram Campaign</t>
  </si>
  <si>
    <t>LinkedIn Campaign</t>
  </si>
  <si>
    <t>sum()</t>
  </si>
  <si>
    <t>AVERAGE()</t>
  </si>
  <si>
    <t>MAX()</t>
  </si>
  <si>
    <t>COUNT()</t>
  </si>
  <si>
    <t xml:space="preserve">OR </t>
  </si>
  <si>
    <t>AND</t>
  </si>
  <si>
    <t>IF</t>
  </si>
  <si>
    <t>LEFT()</t>
  </si>
  <si>
    <t>RIGHT()</t>
  </si>
  <si>
    <t>MID()</t>
  </si>
  <si>
    <t>CONCAT()</t>
  </si>
  <si>
    <t>MIN()</t>
  </si>
  <si>
    <t>TODAY()</t>
  </si>
  <si>
    <t>NOW()</t>
  </si>
  <si>
    <t xml:space="preserve"> DATEDIF()</t>
  </si>
  <si>
    <t>VLOOKUP()</t>
  </si>
  <si>
    <t>SR.NO</t>
  </si>
  <si>
    <t>HLOOKUP()</t>
  </si>
  <si>
    <t>XLOOKUP()</t>
  </si>
  <si>
    <t>MEAN()</t>
  </si>
  <si>
    <t>MODE()</t>
  </si>
  <si>
    <t>MEDIAN()</t>
  </si>
  <si>
    <t>STANDARD DEVIATION()</t>
  </si>
  <si>
    <t>Correlation ()</t>
  </si>
  <si>
    <r>
      <t xml:space="preserve">                                       </t>
    </r>
    <r>
      <rPr>
        <b/>
        <sz val="12"/>
        <rFont val="Calibri"/>
        <family val="2"/>
        <scheme val="minor"/>
      </rPr>
      <t>TEXT FUNCTION</t>
    </r>
  </si>
  <si>
    <t xml:space="preserve">                        STATISTICS FUNCTION</t>
  </si>
  <si>
    <t xml:space="preserve">                          LOOKUP FUNCTION</t>
  </si>
  <si>
    <t>FUNCTION</t>
  </si>
  <si>
    <t>AMT</t>
  </si>
  <si>
    <t xml:space="preserve">                                             DATE FUNCTION</t>
  </si>
  <si>
    <t>NO</t>
  </si>
  <si>
    <t xml:space="preserve">                    Marketing Data</t>
  </si>
  <si>
    <t xml:space="preserve">                              MATHEMATICS FUNCTION</t>
  </si>
  <si>
    <r>
      <t xml:space="preserve">                                           </t>
    </r>
    <r>
      <rPr>
        <b/>
        <sz val="12"/>
        <rFont val="Calibri"/>
        <family val="2"/>
        <scheme val="minor"/>
      </rPr>
      <t>LOGICAL FUNCTION</t>
    </r>
  </si>
  <si>
    <t>TOTAL COST</t>
  </si>
  <si>
    <t>Row Labels</t>
  </si>
  <si>
    <t>Grand Total</t>
  </si>
  <si>
    <t>Sum of Cost (₹)</t>
  </si>
  <si>
    <r>
      <t xml:space="preserve">                              </t>
    </r>
    <r>
      <rPr>
        <b/>
        <sz val="12"/>
        <rFont val="Calibri"/>
        <family val="2"/>
        <scheme val="minor"/>
      </rPr>
      <t xml:space="preserve"> DASHBOARD DEVELOPMENT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</si>
</sst>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scheme val="minor"/>
    </font>
    <font>
      <sz val="11"/>
      <name val="Calibri"/>
      <family val="2"/>
      <scheme val="minor"/>
    </font>
    <font>
      <b/>
      <sz val="12"/>
      <name val="Calibri"/>
      <family val="2"/>
      <scheme val="minor"/>
    </font>
    <font>
      <b/>
      <sz val="16"/>
      <name val="Calibri"/>
      <family val="2"/>
      <scheme val="minor"/>
    </font>
  </fonts>
  <fills count="3">
    <fill>
      <patternFill patternType="none"/>
    </fill>
    <fill>
      <patternFill patternType="gray125"/>
    </fill>
    <fill>
      <patternFill patternType="solid">
        <fgColor theme="9"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1" fillId="2" borderId="0" xfId="0" applyFont="1" applyFill="1"/>
    <xf numFmtId="0" fontId="0" fillId="2" borderId="0" xfId="0" applyFill="1"/>
    <xf numFmtId="0" fontId="2" fillId="2" borderId="0" xfId="0" applyFont="1" applyFill="1"/>
    <xf numFmtId="0" fontId="1" fillId="0" borderId="2" xfId="0" applyFont="1" applyBorder="1" applyAlignment="1">
      <alignment horizontal="center"/>
    </xf>
    <xf numFmtId="0" fontId="1" fillId="0" borderId="4" xfId="0" applyFont="1" applyBorder="1" applyAlignment="1">
      <alignment horizontal="center"/>
    </xf>
    <xf numFmtId="0" fontId="2" fillId="2" borderId="1" xfId="0" applyFont="1" applyFill="1" applyBorder="1" applyAlignment="1">
      <alignment horizontal="center"/>
    </xf>
    <xf numFmtId="0" fontId="0" fillId="2" borderId="1" xfId="0" applyFill="1" applyBorder="1" applyAlignment="1">
      <alignment horizontal="center"/>
    </xf>
    <xf numFmtId="0" fontId="1" fillId="0" borderId="1" xfId="0" applyFont="1" applyBorder="1" applyAlignment="1">
      <alignment horizontal="center"/>
    </xf>
    <xf numFmtId="14" fontId="0" fillId="0" borderId="1" xfId="0" applyNumberFormat="1" applyBorder="1" applyAlignment="1">
      <alignment horizontal="center"/>
    </xf>
    <xf numFmtId="22" fontId="0" fillId="0" borderId="1" xfId="0" applyNumberForma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0" xfId="0" applyFont="1" applyAlignment="1">
      <alignment horizontal="center"/>
    </xf>
    <xf numFmtId="0" fontId="0" fillId="0" borderId="4" xfId="0" applyBorder="1"/>
    <xf numFmtId="0" fontId="0" fillId="0" borderId="2" xfId="0" applyBorder="1"/>
    <xf numFmtId="0" fontId="1" fillId="0" borderId="11" xfId="0" applyFont="1" applyBorder="1" applyAlignment="1">
      <alignment horizontal="center"/>
    </xf>
    <xf numFmtId="0" fontId="0" fillId="2" borderId="0" xfId="0" applyFill="1" applyAlignment="1"/>
    <xf numFmtId="0" fontId="3" fillId="2" borderId="0" xfId="0" applyFont="1" applyFill="1" applyAlignment="1"/>
    <xf numFmtId="0" fontId="0" fillId="0" borderId="1" xfId="0" pivotButton="1" applyBorder="1" applyAlignment="1">
      <alignment horizontal="center"/>
    </xf>
    <xf numFmtId="0" fontId="0" fillId="0" borderId="1" xfId="0" applyNumberFormat="1" applyBorder="1" applyAlignment="1">
      <alignment horizontal="center"/>
    </xf>
  </cellXfs>
  <cellStyles count="1">
    <cellStyle name="Normal" xfId="0" builtinId="0"/>
  </cellStyles>
  <dxfs count="68">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61334438458367E-2"/>
          <c:y val="0.15175707203266259"/>
          <c:w val="0.62056958143389973"/>
          <c:h val="0.6076742490522018"/>
        </c:manualLayout>
      </c:layout>
      <c:lineChart>
        <c:grouping val="standard"/>
        <c:varyColors val="0"/>
        <c:ser>
          <c:idx val="0"/>
          <c:order val="0"/>
          <c:tx>
            <c:v>Sum of Leads Generated</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6"/>
              <c:pt idx="0">
                <c:v>Email Marketing</c:v>
              </c:pt>
              <c:pt idx="1">
                <c:v>Facebook Ads</c:v>
              </c:pt>
              <c:pt idx="2">
                <c:v>Google Ads</c:v>
              </c:pt>
              <c:pt idx="3">
                <c:v>Instagram Campaign</c:v>
              </c:pt>
              <c:pt idx="4">
                <c:v>LinkedIn Campaign</c:v>
              </c:pt>
              <c:pt idx="5">
                <c:v>YouTube Ads</c:v>
              </c:pt>
            </c:strLit>
          </c:cat>
          <c:val>
            <c:numLit>
              <c:formatCode>General</c:formatCode>
              <c:ptCount val="6"/>
              <c:pt idx="0">
                <c:v>1112</c:v>
              </c:pt>
              <c:pt idx="1">
                <c:v>1011</c:v>
              </c:pt>
              <c:pt idx="2">
                <c:v>1536</c:v>
              </c:pt>
              <c:pt idx="3">
                <c:v>746</c:v>
              </c:pt>
              <c:pt idx="4">
                <c:v>783</c:v>
              </c:pt>
              <c:pt idx="5">
                <c:v>294</c:v>
              </c:pt>
            </c:numLit>
          </c:val>
          <c:smooth val="0"/>
          <c:extLst>
            <c:ext xmlns:c16="http://schemas.microsoft.com/office/drawing/2014/chart" uri="{C3380CC4-5D6E-409C-BE32-E72D297353CC}">
              <c16:uniqueId val="{00000000-E836-4F09-B0DB-DC1483588936}"/>
            </c:ext>
          </c:extLst>
        </c:ser>
        <c:ser>
          <c:idx val="1"/>
          <c:order val="1"/>
          <c:tx>
            <c:v>Sum of Cost (₹)</c:v>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6"/>
              <c:pt idx="0">
                <c:v>Email Marketing</c:v>
              </c:pt>
              <c:pt idx="1">
                <c:v>Facebook Ads</c:v>
              </c:pt>
              <c:pt idx="2">
                <c:v>Google Ads</c:v>
              </c:pt>
              <c:pt idx="3">
                <c:v>Instagram Campaign</c:v>
              </c:pt>
              <c:pt idx="4">
                <c:v>LinkedIn Campaign</c:v>
              </c:pt>
              <c:pt idx="5">
                <c:v>YouTube Ads</c:v>
              </c:pt>
            </c:strLit>
          </c:cat>
          <c:val>
            <c:numLit>
              <c:formatCode>General</c:formatCode>
              <c:ptCount val="6"/>
              <c:pt idx="0">
                <c:v>191321</c:v>
              </c:pt>
              <c:pt idx="1">
                <c:v>195503</c:v>
              </c:pt>
              <c:pt idx="2">
                <c:v>220480</c:v>
              </c:pt>
              <c:pt idx="3">
                <c:v>123847</c:v>
              </c:pt>
              <c:pt idx="4">
                <c:v>71645</c:v>
              </c:pt>
              <c:pt idx="5">
                <c:v>86176</c:v>
              </c:pt>
            </c:numLit>
          </c:val>
          <c:smooth val="0"/>
          <c:extLst>
            <c:ext xmlns:c16="http://schemas.microsoft.com/office/drawing/2014/chart" uri="{C3380CC4-5D6E-409C-BE32-E72D297353CC}">
              <c16:uniqueId val="{00000001-E836-4F09-B0DB-DC1483588936}"/>
            </c:ext>
          </c:extLst>
        </c:ser>
        <c:dLbls>
          <c:showLegendKey val="0"/>
          <c:showVal val="0"/>
          <c:showCatName val="0"/>
          <c:showSerName val="0"/>
          <c:showPercent val="0"/>
          <c:showBubbleSize val="0"/>
        </c:dLbls>
        <c:marker val="1"/>
        <c:smooth val="0"/>
        <c:axId val="764201792"/>
        <c:axId val="764205952"/>
      </c:lineChart>
      <c:catAx>
        <c:axId val="7642017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05952"/>
        <c:crosses val="autoZero"/>
        <c:auto val="1"/>
        <c:lblAlgn val="ctr"/>
        <c:lblOffset val="100"/>
        <c:noMultiLvlLbl val="0"/>
      </c:catAx>
      <c:valAx>
        <c:axId val="7642059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0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36287</xdr:rowOff>
    </xdr:from>
    <xdr:to>
      <xdr:col>5</xdr:col>
      <xdr:colOff>-1</xdr:colOff>
      <xdr:row>48</xdr:row>
      <xdr:rowOff>185058</xdr:rowOff>
    </xdr:to>
    <xdr:graphicFrame macro="">
      <xdr:nvGraphicFramePr>
        <xdr:cNvPr id="2" name="Chart 1">
          <a:extLst>
            <a:ext uri="{FF2B5EF4-FFF2-40B4-BE49-F238E27FC236}">
              <a16:creationId xmlns:a16="http://schemas.microsoft.com/office/drawing/2014/main" id="{377F0139-30BD-403D-817F-9CBFC2CA2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53339</xdr:colOff>
      <xdr:row>1</xdr:row>
      <xdr:rowOff>83456</xdr:rowOff>
    </xdr:from>
    <xdr:to>
      <xdr:col>7</xdr:col>
      <xdr:colOff>285568</xdr:colOff>
      <xdr:row>11</xdr:row>
      <xdr:rowOff>54427</xdr:rowOff>
    </xdr:to>
    <mc:AlternateContent xmlns:mc="http://schemas.openxmlformats.org/markup-compatibility/2006">
      <mc:Choice xmlns:sle15="http://schemas.microsoft.com/office/drawing/2012/slicer" Requires="sle15">
        <xdr:graphicFrame macro="">
          <xdr:nvGraphicFramePr>
            <xdr:cNvPr id="3" name="Campaign">
              <a:extLst>
                <a:ext uri="{FF2B5EF4-FFF2-40B4-BE49-F238E27FC236}">
                  <a16:creationId xmlns:a16="http://schemas.microsoft.com/office/drawing/2014/main" id="{7299101D-2172-4AC5-8541-4F8F9D386123}"/>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dr:sp macro="" textlink="">
          <xdr:nvSpPr>
            <xdr:cNvPr id="0" name=""/>
            <xdr:cNvSpPr>
              <a:spLocks noTextEdit="1"/>
            </xdr:cNvSpPr>
          </xdr:nvSpPr>
          <xdr:spPr>
            <a:xfrm>
              <a:off x="6802482" y="165099"/>
              <a:ext cx="1828800" cy="191225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2.905543055553" createdVersion="7" refreshedVersion="7" minRefreshableVersion="3" recordCount="30" xr:uid="{5B90854C-842B-46F9-A54B-80A148EE89FE}">
  <cacheSource type="worksheet">
    <worksheetSource ref="A4:E34" sheet="Marketing Data"/>
  </cacheSource>
  <cacheFields count="5">
    <cacheField name="SR.NO" numFmtId="0">
      <sharedItems containsSemiMixedTypes="0" containsString="0" containsNumber="1" containsInteger="1" minValue="1" maxValue="30"/>
    </cacheField>
    <cacheField name="Campaign" numFmtId="0">
      <sharedItems count="6">
        <s v="YouTube Ads"/>
        <s v="Facebook Ads"/>
        <s v="Google Ads"/>
        <s v="Email Marketing"/>
        <s v="Instagram Campaign"/>
        <s v="LinkedIn Campaign"/>
      </sharedItems>
    </cacheField>
    <cacheField name="Leads Generated" numFmtId="0">
      <sharedItems containsSemiMixedTypes="0" containsString="0" containsNumber="1" containsInteger="1" minValue="50" maxValue="297"/>
    </cacheField>
    <cacheField name="Cost (₹)" numFmtId="0">
      <sharedItems containsSemiMixedTypes="0" containsString="0" containsNumber="1" containsInteger="1" minValue="10078" maxValue="49929"/>
    </cacheField>
    <cacheField name="Conversion Rate (%)" numFmtId="0">
      <sharedItems containsSemiMixedTypes="0" containsString="0" containsNumber="1" minValue="5.03" maxValue="19.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x v="0"/>
    <n v="78"/>
    <n v="45559"/>
    <n v="6.39"/>
  </r>
  <r>
    <n v="2"/>
    <x v="1"/>
    <n v="288"/>
    <n v="22882"/>
    <n v="9.4499999999999993"/>
  </r>
  <r>
    <n v="3"/>
    <x v="2"/>
    <n v="60"/>
    <n v="19515"/>
    <n v="7.01"/>
  </r>
  <r>
    <n v="4"/>
    <x v="3"/>
    <n v="93"/>
    <n v="38210"/>
    <n v="18.39"/>
  </r>
  <r>
    <n v="5"/>
    <x v="2"/>
    <n v="274"/>
    <n v="33392"/>
    <n v="16.38"/>
  </r>
  <r>
    <n v="6"/>
    <x v="1"/>
    <n v="79"/>
    <n v="15538"/>
    <n v="10.99"/>
  </r>
  <r>
    <n v="7"/>
    <x v="1"/>
    <n v="142"/>
    <n v="19227"/>
    <n v="9.23"/>
  </r>
  <r>
    <n v="8"/>
    <x v="4"/>
    <n v="272"/>
    <n v="46629"/>
    <n v="9.09"/>
  </r>
  <r>
    <n v="9"/>
    <x v="1"/>
    <n v="50"/>
    <n v="40541"/>
    <n v="7.05"/>
  </r>
  <r>
    <n v="10"/>
    <x v="5"/>
    <n v="239"/>
    <n v="13705"/>
    <n v="19.48"/>
  </r>
  <r>
    <n v="11"/>
    <x v="2"/>
    <n v="132"/>
    <n v="11674"/>
    <n v="7.93"/>
  </r>
  <r>
    <n v="12"/>
    <x v="0"/>
    <n v="77"/>
    <n v="10640"/>
    <n v="10.26"/>
  </r>
  <r>
    <n v="13"/>
    <x v="2"/>
    <n v="206"/>
    <n v="44245"/>
    <n v="11.69"/>
  </r>
  <r>
    <n v="14"/>
    <x v="4"/>
    <n v="272"/>
    <n v="48374"/>
    <n v="18.510000000000002"/>
  </r>
  <r>
    <n v="15"/>
    <x v="1"/>
    <n v="280"/>
    <n v="49929"/>
    <n v="16.63"/>
  </r>
  <r>
    <n v="16"/>
    <x v="2"/>
    <n v="181"/>
    <n v="22042"/>
    <n v="18.7"/>
  </r>
  <r>
    <n v="17"/>
    <x v="5"/>
    <n v="279"/>
    <n v="22334"/>
    <n v="16.5"/>
  </r>
  <r>
    <n v="18"/>
    <x v="3"/>
    <n v="216"/>
    <n v="41318"/>
    <n v="15.16"/>
  </r>
  <r>
    <n v="19"/>
    <x v="0"/>
    <n v="139"/>
    <n v="29977"/>
    <n v="13.99"/>
  </r>
  <r>
    <n v="20"/>
    <x v="4"/>
    <n v="79"/>
    <n v="10078"/>
    <n v="12.74"/>
  </r>
  <r>
    <n v="21"/>
    <x v="2"/>
    <n v="236"/>
    <n v="13322"/>
    <n v="9.4600000000000009"/>
  </r>
  <r>
    <n v="22"/>
    <x v="1"/>
    <n v="172"/>
    <n v="47386"/>
    <n v="13.47"/>
  </r>
  <r>
    <n v="23"/>
    <x v="3"/>
    <n v="250"/>
    <n v="34735"/>
    <n v="19.11"/>
  </r>
  <r>
    <n v="24"/>
    <x v="3"/>
    <n v="159"/>
    <n v="32735"/>
    <n v="9.16"/>
  </r>
  <r>
    <n v="25"/>
    <x v="4"/>
    <n v="123"/>
    <n v="18766"/>
    <n v="10.41"/>
  </r>
  <r>
    <n v="26"/>
    <x v="5"/>
    <n v="265"/>
    <n v="35606"/>
    <n v="6.4"/>
  </r>
  <r>
    <n v="27"/>
    <x v="3"/>
    <n v="97"/>
    <n v="19741"/>
    <n v="5.03"/>
  </r>
  <r>
    <n v="28"/>
    <x v="3"/>
    <n v="297"/>
    <n v="24582"/>
    <n v="12.8"/>
  </r>
  <r>
    <n v="29"/>
    <x v="2"/>
    <n v="157"/>
    <n v="40473"/>
    <n v="10.66"/>
  </r>
  <r>
    <n v="30"/>
    <x v="2"/>
    <n v="290"/>
    <n v="35817"/>
    <n v="18.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5C150-EE72-40FC-B887-07C3BC1134E8}"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2:K9" firstHeaderRow="1" firstDataRow="1" firstDataCol="1"/>
  <pivotFields count="5">
    <pivotField showAll="0"/>
    <pivotField axis="axisRow" showAll="0">
      <items count="7">
        <item x="3"/>
        <item x="1"/>
        <item x="2"/>
        <item x="4"/>
        <item x="5"/>
        <item x="0"/>
        <item t="default"/>
      </items>
    </pivotField>
    <pivotField showAll="0"/>
    <pivotField dataField="1" showAll="0"/>
    <pivotField showAll="0"/>
  </pivotFields>
  <rowFields count="1">
    <field x="1"/>
  </rowFields>
  <rowItems count="7">
    <i>
      <x/>
    </i>
    <i>
      <x v="1"/>
    </i>
    <i>
      <x v="2"/>
    </i>
    <i>
      <x v="3"/>
    </i>
    <i>
      <x v="4"/>
    </i>
    <i>
      <x v="5"/>
    </i>
    <i t="grand">
      <x/>
    </i>
  </rowItems>
  <colItems count="1">
    <i/>
  </colItems>
  <dataFields count="1">
    <dataField name="Sum of Cost (₹)" fld="3" baseField="0" baseItem="0"/>
  </dataFields>
  <formats count="12">
    <format dxfId="11">
      <pivotArea type="all" dataOnly="0" outline="0" fieldPosition="0"/>
    </format>
    <format dxfId="12">
      <pivotArea outline="0" collapsedLevelsAreSubtotals="1" fieldPosition="0"/>
    </format>
    <format dxfId="13">
      <pivotArea field="1" type="button" dataOnly="0" labelOnly="1" outline="0" axis="axisRow" fieldPosition="0"/>
    </format>
    <format dxfId="14">
      <pivotArea dataOnly="0" labelOnly="1" fieldPosition="0">
        <references count="1">
          <reference field="1" count="0"/>
        </references>
      </pivotArea>
    </format>
    <format dxfId="15">
      <pivotArea dataOnly="0" labelOnly="1" grandRow="1" outline="0" fieldPosition="0"/>
    </format>
    <format dxfId="16">
      <pivotArea dataOnly="0" labelOnly="1" outline="0" axis="axisValues" fieldPosition="0"/>
    </format>
    <format dxfId="1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349A35A3-B4AE-402A-8616-C1DAC4C40AC9}" sourceName="Campaign">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xr10:uid="{29360372-3BAE-4A91-9A1C-0BEB5ACD825F}" cache="Slicer_Campaign" caption="Campaig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A692E-0454-4842-99A3-7C1A15A87CAF}" name="Table1" displayName="Table1" ref="B4:E34" totalsRowShown="0" headerRowDxfId="67" dataDxfId="65" headerRowBorderDxfId="66" tableBorderDxfId="64" totalsRowBorderDxfId="63">
  <autoFilter ref="B4:E34" xr:uid="{6BDA692E-0454-4842-99A3-7C1A15A87CAF}">
    <filterColumn colId="0" hiddenButton="1"/>
    <filterColumn colId="1" hiddenButton="1"/>
    <filterColumn colId="2" hiddenButton="1"/>
    <filterColumn colId="3" hiddenButton="1"/>
  </autoFilter>
  <tableColumns count="4">
    <tableColumn id="1" xr3:uid="{E939BB03-F29D-4346-9D01-E8994A69A215}" name="Campaign" dataDxfId="62"/>
    <tableColumn id="2" xr3:uid="{D85FB1E6-B3A7-4148-B05D-FC0FC155067B}" name="Leads Generated" dataDxfId="61"/>
    <tableColumn id="3" xr3:uid="{48ED8005-C9B7-4B14-B9F2-300FF1A71A5A}" name="Cost (₹)" dataDxfId="60"/>
    <tableColumn id="4" xr3:uid="{0C683A4E-24AE-4BDA-AC50-947469B12F2F}" name="Conversion Rate (%)" dataDxfId="59"/>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6546FA-898B-4ECC-9ACD-925E07B97675}" name="Table2" displayName="Table2" ref="A4:A34" totalsRowShown="0" headerRowDxfId="58" dataDxfId="56" headerRowBorderDxfId="57" tableBorderDxfId="55" totalsRowBorderDxfId="54">
  <autoFilter ref="A4:A34" xr:uid="{336546FA-898B-4ECC-9ACD-925E07B97675}">
    <filterColumn colId="0" hiddenButton="1"/>
  </autoFilter>
  <tableColumns count="1">
    <tableColumn id="1" xr3:uid="{523284FB-EE7E-4500-92BB-EA4F0F58113F}" name="SR.NO" dataDxfId="53"/>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1125C0-5737-40D9-BA38-22D6F9C41C6D}" name="Table3" displayName="Table3" ref="G14:H18" totalsRowShown="0" headerRowDxfId="52" dataDxfId="50" headerRowBorderDxfId="51" tableBorderDxfId="49" totalsRowBorderDxfId="48">
  <autoFilter ref="G14:H18" xr:uid="{6A1125C0-5737-40D9-BA38-22D6F9C41C6D}">
    <filterColumn colId="0" hiddenButton="1"/>
    <filterColumn colId="1" hiddenButton="1"/>
  </autoFilter>
  <tableColumns count="2">
    <tableColumn id="1" xr3:uid="{4D619220-B2F3-4C6F-BACA-F32AB5BBBFB4}" name="FUNCTION" dataDxfId="47"/>
    <tableColumn id="2" xr3:uid="{28BA5D26-163C-4F2C-B2F8-2D9C5F0418E1}" name="AMT" dataDxfId="46"/>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6276E4-01E5-4C01-9832-2FFFCE603E02}" name="Table4" displayName="Table4" ref="J13:K18" totalsRowShown="0" headerRowDxfId="45" dataDxfId="43" headerRowBorderDxfId="44" tableBorderDxfId="42" totalsRowBorderDxfId="41">
  <autoFilter ref="J13:K18" xr:uid="{AC6276E4-01E5-4C01-9832-2FFFCE603E02}">
    <filterColumn colId="0" hiddenButton="1"/>
    <filterColumn colId="1" hiddenButton="1"/>
  </autoFilter>
  <tableColumns count="2">
    <tableColumn id="1" xr3:uid="{D1C0524F-88B1-48C5-A71C-F14ED5E43109}" name="FUNCTION" dataDxfId="40"/>
    <tableColumn id="2" xr3:uid="{7C8FCCE5-64B0-465E-88A9-B87748FDED61}" name="AMT" dataDxfId="39"/>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DA954E-550A-41CA-B93D-64CA1350EDED}" name="Table6" displayName="Table6" ref="J21:K24" totalsRowShown="0" headerRowDxfId="38" dataDxfId="37" tableBorderDxfId="36">
  <autoFilter ref="J21:K24" xr:uid="{93DA954E-550A-41CA-B93D-64CA1350EDED}">
    <filterColumn colId="0" hiddenButton="1"/>
    <filterColumn colId="1" hiddenButton="1"/>
  </autoFilter>
  <tableColumns count="2">
    <tableColumn id="1" xr3:uid="{3F8EBC3D-2F4C-4430-9C75-78DBD3EC9AFC}" name="FUNCTION" dataDxfId="35"/>
    <tableColumn id="2" xr3:uid="{121F390A-2EBA-4F16-933E-AF95F2B16546}" name="AMT" dataDxfId="34"/>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6BDEB9-9B42-4CA4-A77E-447A7886749A}" name="Table7" displayName="Table7" ref="G35:H38" totalsRowShown="0" headerRowDxfId="33" dataDxfId="32">
  <autoFilter ref="G35:H38" xr:uid="{C16BDEB9-9B42-4CA4-A77E-447A7886749A}">
    <filterColumn colId="0" hiddenButton="1"/>
    <filterColumn colId="1" hiddenButton="1"/>
  </autoFilter>
  <tableColumns count="2">
    <tableColumn id="1" xr3:uid="{82590540-8334-4545-99EA-C39BA16A4237}" name="FUNCTION" dataDxfId="31"/>
    <tableColumn id="2" xr3:uid="{45258300-4D6E-42D0-AD67-81F768F13C87}" name="AMT" dataDxfId="30"/>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A0C126B-4BFC-4F02-AFF1-5A51CE6F44FB}" name="Table8" displayName="Table8" ref="G29:H32" totalsRowShown="0" headerRowDxfId="29" headerRowBorderDxfId="28" tableBorderDxfId="27" totalsRowBorderDxfId="26">
  <autoFilter ref="G29:H32" xr:uid="{2A0C126B-4BFC-4F02-AFF1-5A51CE6F44FB}">
    <filterColumn colId="0" hiddenButton="1"/>
    <filterColumn colId="1" hiddenButton="1"/>
  </autoFilter>
  <tableColumns count="2">
    <tableColumn id="1" xr3:uid="{DE323F1A-263F-4208-8DB7-E6FB2863B7F3}" name="FUNCTION" dataDxfId="25"/>
    <tableColumn id="2" xr3:uid="{24314913-7D6D-4EC9-BB00-73F6D6F61B73}" name="AMT" dataDxfId="24"/>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E1D86C3-C379-4D88-85F6-FEB4B445C8AC}" name="Table9" displayName="Table9" ref="G21:H26" totalsRowShown="0" headerRowDxfId="23" dataDxfId="21" headerRowBorderDxfId="22" tableBorderDxfId="20" totalsRowBorderDxfId="19">
  <autoFilter ref="G21:H26" xr:uid="{1E1D86C3-C379-4D88-85F6-FEB4B445C8AC}">
    <filterColumn colId="0" hiddenButton="1"/>
    <filterColumn colId="1" hiddenButton="1"/>
  </autoFilter>
  <tableColumns count="2">
    <tableColumn id="1" xr3:uid="{F0B9DD65-994B-4FBA-9EE5-2F5D31B22179}" name="FUNCTION" dataDxfId="18"/>
    <tableColumn id="2" xr3:uid="{6DE8E2A7-837C-40A1-A546-D002276DE621}" name="AMT" dataDxfId="17"/>
  </tableColumns>
  <tableStyleInfo name="TableStyleMedium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15410F-5528-4A5B-876E-A7219ADF3648}" name="Table5" displayName="Table5" ref="J30:K31" headerRowCount="0" totalsRowShown="0" headerRowDxfId="0" tableBorderDxfId="4" totalsRowBorderDxfId="3">
  <tableColumns count="2">
    <tableColumn id="1" xr3:uid="{E3328460-2488-457D-8B30-82797537DE45}" name="Column1" dataDxfId="2"/>
    <tableColumn id="2" xr3:uid="{AE927082-C9E8-4DE2-AC7C-F0F25F04E6CC}" name="Column2" dataDxfId="1">
      <calculatedColumnFormula>SUM(D:D)</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13" Type="http://schemas.microsoft.com/office/2007/relationships/slicer" Target="../slicers/slicer1.xml"/><Relationship Id="rId3" Type="http://schemas.openxmlformats.org/officeDocument/2006/relationships/drawing" Target="../drawings/drawing1.xml"/><Relationship Id="rId7" Type="http://schemas.openxmlformats.org/officeDocument/2006/relationships/table" Target="../tables/table4.xml"/><Relationship Id="rId12" Type="http://schemas.openxmlformats.org/officeDocument/2006/relationships/table" Target="../tables/table9.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0" Type="http://schemas.openxmlformats.org/officeDocument/2006/relationships/table" Target="../tables/table7.xml"/><Relationship Id="rId4" Type="http://schemas.openxmlformats.org/officeDocument/2006/relationships/table" Target="../tables/table1.xml"/><Relationship Id="rId9"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3"/>
  <sheetViews>
    <sheetView tabSelected="1" zoomScale="84" zoomScaleNormal="100" workbookViewId="0">
      <selection activeCell="J29" sqref="J29"/>
    </sheetView>
  </sheetViews>
  <sheetFormatPr defaultColWidth="14.44140625" defaultRowHeight="15" customHeight="1" x14ac:dyDescent="0.3"/>
  <cols>
    <col min="2" max="2" width="22.109375" customWidth="1"/>
    <col min="3" max="3" width="19.21875" customWidth="1"/>
    <col min="4" max="4" width="14.109375" customWidth="1"/>
    <col min="5" max="5" width="19.77734375" customWidth="1"/>
    <col min="6" max="6" width="8.6640625" customWidth="1"/>
    <col min="7" max="7" width="23.21875" customWidth="1"/>
    <col min="8" max="8" width="22" customWidth="1"/>
    <col min="9" max="9" width="6.77734375" customWidth="1"/>
    <col min="10" max="10" width="27.77734375" customWidth="1"/>
    <col min="11" max="11" width="22.44140625" customWidth="1"/>
    <col min="13" max="13" width="15.109375" bestFit="1" customWidth="1"/>
  </cols>
  <sheetData>
    <row r="1" spans="1:11" ht="6.6" customHeight="1" x14ac:dyDescent="0.3">
      <c r="A1" s="29"/>
      <c r="B1" s="29"/>
      <c r="C1" s="29"/>
      <c r="D1" s="29"/>
      <c r="E1" s="29"/>
    </row>
    <row r="2" spans="1:11" ht="23.4" customHeight="1" x14ac:dyDescent="0.4">
      <c r="A2" s="29"/>
      <c r="B2" s="30" t="s">
        <v>41</v>
      </c>
      <c r="C2" s="29"/>
      <c r="D2" s="29"/>
      <c r="E2" s="29"/>
      <c r="J2" s="31" t="s">
        <v>45</v>
      </c>
      <c r="K2" s="5" t="s">
        <v>47</v>
      </c>
    </row>
    <row r="3" spans="1:11" ht="15" customHeight="1" x14ac:dyDescent="0.3">
      <c r="A3" s="29"/>
      <c r="B3" s="29"/>
      <c r="C3" s="29"/>
      <c r="D3" s="29"/>
      <c r="E3" s="29"/>
      <c r="J3" s="5" t="s">
        <v>7</v>
      </c>
      <c r="K3" s="32">
        <v>191321</v>
      </c>
    </row>
    <row r="4" spans="1:11" ht="14.4" x14ac:dyDescent="0.3">
      <c r="A4" s="28" t="s">
        <v>26</v>
      </c>
      <c r="B4" s="1" t="s">
        <v>0</v>
      </c>
      <c r="C4" s="2" t="s">
        <v>1</v>
      </c>
      <c r="D4" s="2" t="s">
        <v>2</v>
      </c>
      <c r="E4" s="3" t="s">
        <v>3</v>
      </c>
      <c r="J4" s="5" t="s">
        <v>5</v>
      </c>
      <c r="K4" s="32">
        <v>195503</v>
      </c>
    </row>
    <row r="5" spans="1:11" ht="14.4" x14ac:dyDescent="0.3">
      <c r="A5" s="10">
        <v>1</v>
      </c>
      <c r="B5" s="4" t="s">
        <v>4</v>
      </c>
      <c r="C5" s="5">
        <v>78</v>
      </c>
      <c r="D5" s="5">
        <v>45559</v>
      </c>
      <c r="E5" s="6">
        <v>6.39</v>
      </c>
      <c r="J5" s="5" t="s">
        <v>6</v>
      </c>
      <c r="K5" s="32">
        <v>220480</v>
      </c>
    </row>
    <row r="6" spans="1:11" ht="14.4" x14ac:dyDescent="0.3">
      <c r="A6" s="10">
        <v>2</v>
      </c>
      <c r="B6" s="4" t="s">
        <v>5</v>
      </c>
      <c r="C6" s="5">
        <v>288</v>
      </c>
      <c r="D6" s="5">
        <v>22882</v>
      </c>
      <c r="E6" s="6">
        <v>9.4499999999999993</v>
      </c>
      <c r="J6" s="5" t="s">
        <v>8</v>
      </c>
      <c r="K6" s="32">
        <v>123847</v>
      </c>
    </row>
    <row r="7" spans="1:11" ht="14.4" x14ac:dyDescent="0.3">
      <c r="A7" s="10">
        <v>3</v>
      </c>
      <c r="B7" s="4" t="s">
        <v>6</v>
      </c>
      <c r="C7" s="5">
        <v>60</v>
      </c>
      <c r="D7" s="5">
        <v>19515</v>
      </c>
      <c r="E7" s="6">
        <v>7.01</v>
      </c>
      <c r="J7" s="5" t="s">
        <v>9</v>
      </c>
      <c r="K7" s="32">
        <v>71645</v>
      </c>
    </row>
    <row r="8" spans="1:11" ht="14.4" x14ac:dyDescent="0.3">
      <c r="A8" s="10">
        <v>4</v>
      </c>
      <c r="B8" s="4" t="s">
        <v>7</v>
      </c>
      <c r="C8" s="5">
        <v>93</v>
      </c>
      <c r="D8" s="5">
        <v>38210</v>
      </c>
      <c r="E8" s="6">
        <v>18.39</v>
      </c>
      <c r="J8" s="5" t="s">
        <v>4</v>
      </c>
      <c r="K8" s="32">
        <v>86176</v>
      </c>
    </row>
    <row r="9" spans="1:11" ht="14.4" x14ac:dyDescent="0.3">
      <c r="A9" s="10">
        <v>5</v>
      </c>
      <c r="B9" s="4" t="s">
        <v>6</v>
      </c>
      <c r="C9" s="5">
        <v>274</v>
      </c>
      <c r="D9" s="5">
        <v>33392</v>
      </c>
      <c r="E9" s="6">
        <v>16.38</v>
      </c>
      <c r="J9" s="5" t="s">
        <v>46</v>
      </c>
      <c r="K9" s="32">
        <v>888972</v>
      </c>
    </row>
    <row r="10" spans="1:11" ht="14.4" x14ac:dyDescent="0.3">
      <c r="A10" s="10">
        <v>6</v>
      </c>
      <c r="B10" s="4" t="s">
        <v>5</v>
      </c>
      <c r="C10" s="5">
        <v>79</v>
      </c>
      <c r="D10" s="5">
        <v>15538</v>
      </c>
      <c r="E10" s="6">
        <v>10.99</v>
      </c>
    </row>
    <row r="11" spans="1:11" ht="14.4" x14ac:dyDescent="0.3">
      <c r="A11" s="10">
        <v>7</v>
      </c>
      <c r="B11" s="4" t="s">
        <v>5</v>
      </c>
      <c r="C11" s="5">
        <v>142</v>
      </c>
      <c r="D11" s="5">
        <v>19227</v>
      </c>
      <c r="E11" s="6">
        <v>9.23</v>
      </c>
    </row>
    <row r="12" spans="1:11" ht="15.6" x14ac:dyDescent="0.3">
      <c r="A12" s="10">
        <v>8</v>
      </c>
      <c r="B12" s="4" t="s">
        <v>8</v>
      </c>
      <c r="C12" s="5">
        <v>272</v>
      </c>
      <c r="D12" s="5">
        <v>46629</v>
      </c>
      <c r="E12" s="6">
        <v>9.09</v>
      </c>
      <c r="J12" s="14" t="s">
        <v>42</v>
      </c>
      <c r="K12" s="13"/>
    </row>
    <row r="13" spans="1:11" ht="15.6" x14ac:dyDescent="0.3">
      <c r="A13" s="10">
        <v>9</v>
      </c>
      <c r="B13" s="4" t="s">
        <v>5</v>
      </c>
      <c r="C13" s="5">
        <v>50</v>
      </c>
      <c r="D13" s="5">
        <v>40541</v>
      </c>
      <c r="E13" s="6">
        <v>7.05</v>
      </c>
      <c r="G13" s="12" t="s">
        <v>34</v>
      </c>
      <c r="H13" s="13"/>
      <c r="J13" s="15" t="s">
        <v>37</v>
      </c>
      <c r="K13" s="16" t="s">
        <v>38</v>
      </c>
    </row>
    <row r="14" spans="1:11" ht="14.4" x14ac:dyDescent="0.3">
      <c r="A14" s="10">
        <v>10</v>
      </c>
      <c r="B14" s="4" t="s">
        <v>9</v>
      </c>
      <c r="C14" s="5">
        <v>239</v>
      </c>
      <c r="D14" s="5">
        <v>13705</v>
      </c>
      <c r="E14" s="6">
        <v>19.48</v>
      </c>
      <c r="G14" s="15" t="s">
        <v>37</v>
      </c>
      <c r="H14" s="16" t="s">
        <v>38</v>
      </c>
      <c r="J14" s="4" t="s">
        <v>10</v>
      </c>
      <c r="K14" s="6">
        <f>SUM(D5:D34)</f>
        <v>888972</v>
      </c>
    </row>
    <row r="15" spans="1:11" ht="14.4" x14ac:dyDescent="0.3">
      <c r="A15" s="10">
        <v>11</v>
      </c>
      <c r="B15" s="4" t="s">
        <v>6</v>
      </c>
      <c r="C15" s="5">
        <v>132</v>
      </c>
      <c r="D15" s="5">
        <v>11674</v>
      </c>
      <c r="E15" s="6">
        <v>7.93</v>
      </c>
      <c r="G15" s="4" t="s">
        <v>17</v>
      </c>
      <c r="H15" s="6" t="str">
        <f>LEFT(B5,3)</f>
        <v>You</v>
      </c>
      <c r="J15" s="4" t="s">
        <v>11</v>
      </c>
      <c r="K15" s="6">
        <f>AVERAGE(Table1[Cost (₹)])</f>
        <v>29632.400000000001</v>
      </c>
    </row>
    <row r="16" spans="1:11" ht="14.4" x14ac:dyDescent="0.3">
      <c r="A16" s="10">
        <v>12</v>
      </c>
      <c r="B16" s="4" t="s">
        <v>4</v>
      </c>
      <c r="C16" s="5">
        <v>77</v>
      </c>
      <c r="D16" s="5">
        <v>10640</v>
      </c>
      <c r="E16" s="6">
        <v>10.26</v>
      </c>
      <c r="G16" s="4" t="s">
        <v>18</v>
      </c>
      <c r="H16" s="6" t="str">
        <f>RIGHT(B5,3)</f>
        <v>Ads</v>
      </c>
      <c r="J16" s="4" t="s">
        <v>21</v>
      </c>
      <c r="K16" s="6">
        <f>MIN(Table1[Cost (₹)])</f>
        <v>10078</v>
      </c>
    </row>
    <row r="17" spans="1:11" ht="14.4" x14ac:dyDescent="0.3">
      <c r="A17" s="10">
        <v>13</v>
      </c>
      <c r="B17" s="4" t="s">
        <v>6</v>
      </c>
      <c r="C17" s="5">
        <v>206</v>
      </c>
      <c r="D17" s="5">
        <v>44245</v>
      </c>
      <c r="E17" s="6">
        <v>11.69</v>
      </c>
      <c r="G17" s="4" t="s">
        <v>19</v>
      </c>
      <c r="H17" s="6" t="str">
        <f>MID(B5,2,3)</f>
        <v>ouT</v>
      </c>
      <c r="J17" s="4" t="s">
        <v>12</v>
      </c>
      <c r="K17" s="6">
        <f>MAX(Table1[Cost (₹)])</f>
        <v>49929</v>
      </c>
    </row>
    <row r="18" spans="1:11" ht="14.4" x14ac:dyDescent="0.3">
      <c r="A18" s="10">
        <v>14</v>
      </c>
      <c r="B18" s="4" t="s">
        <v>8</v>
      </c>
      <c r="C18" s="5">
        <v>272</v>
      </c>
      <c r="D18" s="5">
        <v>48374</v>
      </c>
      <c r="E18" s="6">
        <v>18.510000000000002</v>
      </c>
      <c r="G18" s="7" t="s">
        <v>20</v>
      </c>
      <c r="H18" s="9" t="str">
        <f>_xlfn.CONCAT(B5,C5)</f>
        <v>YouTube Ads78</v>
      </c>
      <c r="J18" s="7" t="s">
        <v>13</v>
      </c>
      <c r="K18" s="9">
        <f>COUNT(D5:D34)</f>
        <v>30</v>
      </c>
    </row>
    <row r="19" spans="1:11" ht="14.4" x14ac:dyDescent="0.3">
      <c r="A19" s="10">
        <v>15</v>
      </c>
      <c r="B19" s="4" t="s">
        <v>5</v>
      </c>
      <c r="C19" s="5">
        <v>280</v>
      </c>
      <c r="D19" s="5">
        <v>49929</v>
      </c>
      <c r="E19" s="6">
        <v>16.63</v>
      </c>
    </row>
    <row r="20" spans="1:11" ht="15.6" x14ac:dyDescent="0.3">
      <c r="A20" s="10">
        <v>16</v>
      </c>
      <c r="B20" s="4" t="s">
        <v>6</v>
      </c>
      <c r="C20" s="5">
        <v>181</v>
      </c>
      <c r="D20" s="5">
        <v>22042</v>
      </c>
      <c r="E20" s="6">
        <v>18.7</v>
      </c>
      <c r="G20" s="14" t="s">
        <v>35</v>
      </c>
      <c r="H20" s="13"/>
      <c r="J20" s="12" t="s">
        <v>43</v>
      </c>
      <c r="K20" s="13"/>
    </row>
    <row r="21" spans="1:11" ht="14.4" x14ac:dyDescent="0.3">
      <c r="A21" s="10">
        <v>17</v>
      </c>
      <c r="B21" s="4" t="s">
        <v>9</v>
      </c>
      <c r="C21" s="5">
        <v>279</v>
      </c>
      <c r="D21" s="5">
        <v>22334</v>
      </c>
      <c r="E21" s="6">
        <v>16.5</v>
      </c>
      <c r="G21" s="15" t="s">
        <v>37</v>
      </c>
      <c r="H21" s="16" t="s">
        <v>38</v>
      </c>
      <c r="J21" s="25" t="s">
        <v>37</v>
      </c>
      <c r="K21" s="25" t="s">
        <v>38</v>
      </c>
    </row>
    <row r="22" spans="1:11" ht="14.4" x14ac:dyDescent="0.3">
      <c r="A22" s="10">
        <v>18</v>
      </c>
      <c r="B22" s="4" t="s">
        <v>7</v>
      </c>
      <c r="C22" s="5">
        <v>216</v>
      </c>
      <c r="D22" s="5">
        <v>41318</v>
      </c>
      <c r="E22" s="6">
        <v>15.16</v>
      </c>
      <c r="G22" s="22" t="s">
        <v>29</v>
      </c>
      <c r="H22" s="6">
        <f>AVERAGE(Table1[Cost (₹)])</f>
        <v>29632.400000000001</v>
      </c>
      <c r="J22" s="5" t="s">
        <v>16</v>
      </c>
      <c r="K22" s="5" t="str">
        <f>IF(D5&gt;40000,"MAXIMUM")</f>
        <v>MAXIMUM</v>
      </c>
    </row>
    <row r="23" spans="1:11" ht="14.4" x14ac:dyDescent="0.3">
      <c r="A23" s="10">
        <v>19</v>
      </c>
      <c r="B23" s="4" t="s">
        <v>4</v>
      </c>
      <c r="C23" s="5">
        <v>139</v>
      </c>
      <c r="D23" s="5">
        <v>29977</v>
      </c>
      <c r="E23" s="6">
        <v>13.99</v>
      </c>
      <c r="G23" s="22" t="s">
        <v>30</v>
      </c>
      <c r="H23" s="23" t="s">
        <v>40</v>
      </c>
      <c r="J23" s="5" t="s">
        <v>14</v>
      </c>
      <c r="K23" s="5" t="b">
        <f>OR(D5&gt;50000,"TURE")</f>
        <v>0</v>
      </c>
    </row>
    <row r="24" spans="1:11" ht="15.75" customHeight="1" x14ac:dyDescent="0.3">
      <c r="A24" s="10">
        <v>20</v>
      </c>
      <c r="B24" s="4" t="s">
        <v>8</v>
      </c>
      <c r="C24" s="5">
        <v>79</v>
      </c>
      <c r="D24" s="5">
        <v>10078</v>
      </c>
      <c r="E24" s="6">
        <v>12.74</v>
      </c>
      <c r="G24" s="22" t="s">
        <v>31</v>
      </c>
      <c r="H24" s="6">
        <f>MEDIAN(Table1[Cost (₹)])</f>
        <v>31356</v>
      </c>
      <c r="J24" s="8" t="s">
        <v>15</v>
      </c>
      <c r="K24" s="8" t="b">
        <f>AND(D5&gt;50000,"TURE")</f>
        <v>0</v>
      </c>
    </row>
    <row r="25" spans="1:11" ht="15.75" customHeight="1" x14ac:dyDescent="0.3">
      <c r="A25" s="10">
        <v>21</v>
      </c>
      <c r="B25" s="4" t="s">
        <v>6</v>
      </c>
      <c r="C25" s="5">
        <v>236</v>
      </c>
      <c r="D25" s="5">
        <v>13322</v>
      </c>
      <c r="E25" s="6">
        <v>9.4600000000000009</v>
      </c>
      <c r="G25" s="22" t="s">
        <v>32</v>
      </c>
      <c r="H25" s="6">
        <f>_xlfn.STDEV.P(Table1[Cost (₹)])</f>
        <v>12645.702618149246</v>
      </c>
    </row>
    <row r="26" spans="1:11" ht="15.75" customHeight="1" x14ac:dyDescent="0.3">
      <c r="A26" s="10">
        <v>22</v>
      </c>
      <c r="B26" s="4" t="s">
        <v>5</v>
      </c>
      <c r="C26" s="5">
        <v>172</v>
      </c>
      <c r="D26" s="5">
        <v>47386</v>
      </c>
      <c r="E26" s="6">
        <v>13.47</v>
      </c>
      <c r="G26" s="24" t="s">
        <v>33</v>
      </c>
      <c r="H26" s="9">
        <f>CORREL(C:C,D:D)</f>
        <v>0.29416057866115147</v>
      </c>
    </row>
    <row r="27" spans="1:11" ht="15.75" customHeight="1" x14ac:dyDescent="0.3">
      <c r="A27" s="10">
        <v>23</v>
      </c>
      <c r="B27" s="4" t="s">
        <v>7</v>
      </c>
      <c r="C27" s="5">
        <v>250</v>
      </c>
      <c r="D27" s="5">
        <v>34735</v>
      </c>
      <c r="E27" s="6">
        <v>19.11</v>
      </c>
    </row>
    <row r="28" spans="1:11" ht="15.75" customHeight="1" x14ac:dyDescent="0.3">
      <c r="A28" s="10">
        <v>24</v>
      </c>
      <c r="B28" s="4" t="s">
        <v>7</v>
      </c>
      <c r="C28" s="5">
        <v>159</v>
      </c>
      <c r="D28" s="5">
        <v>32735</v>
      </c>
      <c r="E28" s="6">
        <v>9.16</v>
      </c>
      <c r="G28" s="14" t="s">
        <v>36</v>
      </c>
      <c r="H28" s="13"/>
    </row>
    <row r="29" spans="1:11" ht="15.75" customHeight="1" x14ac:dyDescent="0.3">
      <c r="A29" s="10">
        <v>25</v>
      </c>
      <c r="B29" s="4" t="s">
        <v>8</v>
      </c>
      <c r="C29" s="5">
        <v>123</v>
      </c>
      <c r="D29" s="5">
        <v>18766</v>
      </c>
      <c r="E29" s="6">
        <v>10.41</v>
      </c>
      <c r="G29" s="15" t="s">
        <v>37</v>
      </c>
      <c r="H29" s="16" t="s">
        <v>38</v>
      </c>
      <c r="J29" s="12" t="s">
        <v>48</v>
      </c>
      <c r="K29" s="13"/>
    </row>
    <row r="30" spans="1:11" ht="15.75" customHeight="1" x14ac:dyDescent="0.3">
      <c r="A30" s="10">
        <v>26</v>
      </c>
      <c r="B30" s="4" t="s">
        <v>9</v>
      </c>
      <c r="C30" s="5">
        <v>265</v>
      </c>
      <c r="D30" s="5">
        <v>35606</v>
      </c>
      <c r="E30" s="6">
        <v>6.4</v>
      </c>
      <c r="G30" s="4" t="s">
        <v>25</v>
      </c>
      <c r="H30" s="6">
        <f>VLOOKUP(A5,A5:E34,4,FALSE)</f>
        <v>45559</v>
      </c>
      <c r="J30" s="27"/>
      <c r="K30" s="26"/>
    </row>
    <row r="31" spans="1:11" ht="15.75" customHeight="1" x14ac:dyDescent="0.3">
      <c r="A31" s="10">
        <v>27</v>
      </c>
      <c r="B31" s="4" t="s">
        <v>7</v>
      </c>
      <c r="C31" s="5">
        <v>97</v>
      </c>
      <c r="D31" s="5">
        <v>19741</v>
      </c>
      <c r="E31" s="6">
        <v>5.03</v>
      </c>
      <c r="G31" s="4" t="s">
        <v>27</v>
      </c>
      <c r="H31" s="6">
        <f>HLOOKUP(A5,A5:E34,4,FALSE)</f>
        <v>4</v>
      </c>
      <c r="J31" s="7" t="s">
        <v>44</v>
      </c>
      <c r="K31" s="9">
        <f>SUM(D:D)</f>
        <v>888972</v>
      </c>
    </row>
    <row r="32" spans="1:11" ht="15.75" customHeight="1" x14ac:dyDescent="0.3">
      <c r="A32" s="10">
        <v>28</v>
      </c>
      <c r="B32" s="4" t="s">
        <v>7</v>
      </c>
      <c r="C32" s="5">
        <v>297</v>
      </c>
      <c r="D32" s="5">
        <v>24582</v>
      </c>
      <c r="E32" s="6">
        <v>12.8</v>
      </c>
      <c r="G32" s="7" t="s">
        <v>28</v>
      </c>
      <c r="H32" s="9">
        <f>VLOOKUP(A5, A5:E34, 5,FALSE)</f>
        <v>6.39</v>
      </c>
    </row>
    <row r="33" spans="1:8" ht="15.75" customHeight="1" x14ac:dyDescent="0.3">
      <c r="A33" s="10">
        <v>29</v>
      </c>
      <c r="B33" s="4" t="s">
        <v>6</v>
      </c>
      <c r="C33" s="5">
        <v>157</v>
      </c>
      <c r="D33" s="5">
        <v>40473</v>
      </c>
      <c r="E33" s="6">
        <v>10.66</v>
      </c>
    </row>
    <row r="34" spans="1:8" ht="15.75" customHeight="1" x14ac:dyDescent="0.3">
      <c r="A34" s="11">
        <v>30</v>
      </c>
      <c r="B34" s="7" t="s">
        <v>6</v>
      </c>
      <c r="C34" s="8">
        <v>290</v>
      </c>
      <c r="D34" s="8">
        <v>35817</v>
      </c>
      <c r="E34" s="9">
        <v>18.63</v>
      </c>
      <c r="G34" s="17" t="s">
        <v>39</v>
      </c>
      <c r="H34" s="18"/>
    </row>
    <row r="35" spans="1:8" ht="15.75" customHeight="1" x14ac:dyDescent="0.3">
      <c r="G35" s="19" t="s">
        <v>37</v>
      </c>
      <c r="H35" s="19" t="s">
        <v>38</v>
      </c>
    </row>
    <row r="36" spans="1:8" ht="15.75" customHeight="1" x14ac:dyDescent="0.3">
      <c r="G36" s="5" t="s">
        <v>22</v>
      </c>
      <c r="H36" s="20">
        <f ca="1">TODAY()</f>
        <v>46072</v>
      </c>
    </row>
    <row r="37" spans="1:8" ht="15.75" customHeight="1" x14ac:dyDescent="0.3">
      <c r="G37" s="5" t="s">
        <v>23</v>
      </c>
      <c r="H37" s="21">
        <f ca="1">NOW()</f>
        <v>46072.913668865738</v>
      </c>
    </row>
    <row r="38" spans="1:8" ht="15.75" customHeight="1" x14ac:dyDescent="0.3">
      <c r="G38" s="5" t="s">
        <v>24</v>
      </c>
      <c r="H38" s="5">
        <v>30</v>
      </c>
    </row>
    <row r="39" spans="1:8" ht="15.75" customHeight="1" x14ac:dyDescent="0.3"/>
    <row r="40" spans="1:8" ht="15.75" customHeight="1" x14ac:dyDescent="0.3"/>
    <row r="41" spans="1:8" ht="15.75" customHeight="1" x14ac:dyDescent="0.3"/>
    <row r="42" spans="1:8" ht="15.75" customHeight="1" x14ac:dyDescent="0.3"/>
    <row r="43" spans="1:8" ht="15.75" customHeight="1" x14ac:dyDescent="0.3"/>
    <row r="44" spans="1:8" ht="15.75" customHeight="1" x14ac:dyDescent="0.3"/>
    <row r="45" spans="1:8" ht="15.75" customHeight="1" x14ac:dyDescent="0.3"/>
    <row r="46" spans="1:8" ht="15.75" customHeight="1" x14ac:dyDescent="0.3"/>
    <row r="47" spans="1:8" ht="15.75" customHeight="1" x14ac:dyDescent="0.3"/>
    <row r="48" spans="1: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sheetData>
  <pageMargins left="0.75" right="0.75" top="1" bottom="1" header="0" footer="0"/>
  <pageSetup orientation="landscape" r:id="rId2"/>
  <drawing r:id="rId3"/>
  <tableParts count="9">
    <tablePart r:id="rId4"/>
    <tablePart r:id="rId5"/>
    <tablePart r:id="rId6"/>
    <tablePart r:id="rId7"/>
    <tablePart r:id="rId8"/>
    <tablePart r:id="rId9"/>
    <tablePart r:id="rId10"/>
    <tablePart r:id="rId11"/>
    <tablePart r:id="rId12"/>
  </tableParts>
  <extLst>
    <ext xmlns:x15="http://schemas.microsoft.com/office/spreadsheetml/2010/11/main" uri="{3A4CF648-6AED-40f4-86FF-DC5316D8AED3}">
      <x14:slicerList xmlns:x14="http://schemas.microsoft.com/office/spreadsheetml/2009/9/main">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Marketing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adya yawalikar</cp:lastModifiedBy>
  <dcterms:created xsi:type="dcterms:W3CDTF">2026-02-15T13:56:26Z</dcterms:created>
  <dcterms:modified xsi:type="dcterms:W3CDTF">2026-02-19T16:25:53Z</dcterms:modified>
</cp:coreProperties>
</file>