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https://d.docs.live.net/5202b574d7987275/Desktop/New/"/>
    </mc:Choice>
  </mc:AlternateContent>
  <xr:revisionPtr revIDLastSave="0" documentId="14_{2C073750-A829-4EE0-B61E-2E0583080B87}" xr6:coauthVersionLast="47" xr6:coauthVersionMax="47" xr10:uidLastSave="{00000000-0000-0000-0000-000000000000}"/>
  <bookViews>
    <workbookView xWindow="-108" yWindow="-108" windowWidth="23256" windowHeight="13896" xr2:uid="{00000000-000D-0000-FFFF-FFFF00000000}"/>
  </bookViews>
  <sheets>
    <sheet name="HR" sheetId="1" r:id="rId1"/>
  </sheets>
  <definedNames>
    <definedName name="Slicer_Department">#N/A</definedName>
  </definedNames>
  <calcPr calcId="191029"/>
  <pivotCaches>
    <pivotCache cacheId="0" r:id="rId2"/>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6" i="1" l="1"/>
  <c r="I25" i="1"/>
  <c r="I41" i="1"/>
  <c r="I40" i="1"/>
  <c r="I35" i="1"/>
  <c r="I37" i="1" s="1"/>
  <c r="I36" i="1"/>
  <c r="I9" i="1"/>
  <c r="I8" i="1"/>
  <c r="I7" i="1"/>
  <c r="I6" i="1"/>
  <c r="I5" i="1"/>
  <c r="I15" i="1"/>
  <c r="I14" i="1"/>
  <c r="I13" i="1"/>
  <c r="I12" i="1"/>
  <c r="I21" i="1"/>
  <c r="I20" i="1"/>
  <c r="I18" i="1"/>
  <c r="I27" i="1"/>
  <c r="I30" i="1"/>
  <c r="I32" i="1"/>
  <c r="I31" i="1"/>
</calcChain>
</file>

<file path=xl/sharedStrings.xml><?xml version="1.0" encoding="utf-8"?>
<sst xmlns="http://schemas.openxmlformats.org/spreadsheetml/2006/main" count="161" uniqueCount="80">
  <si>
    <t>Employee ID</t>
  </si>
  <si>
    <t>Department</t>
  </si>
  <si>
    <t>Salary</t>
  </si>
  <si>
    <t>Experience (Years)</t>
  </si>
  <si>
    <t>Attrition</t>
  </si>
  <si>
    <t>E001</t>
  </si>
  <si>
    <t>Finance</t>
  </si>
  <si>
    <t>No</t>
  </si>
  <si>
    <t>E002</t>
  </si>
  <si>
    <t>Marketing</t>
  </si>
  <si>
    <t>E003</t>
  </si>
  <si>
    <t>Sales</t>
  </si>
  <si>
    <t>E004</t>
  </si>
  <si>
    <t>IT</t>
  </si>
  <si>
    <t>E005</t>
  </si>
  <si>
    <t>HR</t>
  </si>
  <si>
    <t>E006</t>
  </si>
  <si>
    <t>E007</t>
  </si>
  <si>
    <t>Yes</t>
  </si>
  <si>
    <t>E008</t>
  </si>
  <si>
    <t>E009</t>
  </si>
  <si>
    <t>E010</t>
  </si>
  <si>
    <t>E011</t>
  </si>
  <si>
    <t>E012</t>
  </si>
  <si>
    <t>E013</t>
  </si>
  <si>
    <t>E014</t>
  </si>
  <si>
    <t>E015</t>
  </si>
  <si>
    <t>E016</t>
  </si>
  <si>
    <t>E017</t>
  </si>
  <si>
    <t>E018</t>
  </si>
  <si>
    <t>E019</t>
  </si>
  <si>
    <t>E020</t>
  </si>
  <si>
    <t>E021</t>
  </si>
  <si>
    <t>E022</t>
  </si>
  <si>
    <t>E023</t>
  </si>
  <si>
    <t>E024</t>
  </si>
  <si>
    <t>E025</t>
  </si>
  <si>
    <t>E026</t>
  </si>
  <si>
    <t>E027</t>
  </si>
  <si>
    <t>E028</t>
  </si>
  <si>
    <t>E029</t>
  </si>
  <si>
    <t>E030</t>
  </si>
  <si>
    <t>sum()</t>
  </si>
  <si>
    <t>AVERAGE()</t>
  </si>
  <si>
    <t>MIN()</t>
  </si>
  <si>
    <t>MAX()</t>
  </si>
  <si>
    <t>COUNT()</t>
  </si>
  <si>
    <t>LEFT()</t>
  </si>
  <si>
    <t>RIGHT()</t>
  </si>
  <si>
    <t>MID()</t>
  </si>
  <si>
    <t>CONCAT()</t>
  </si>
  <si>
    <t>MEAN()</t>
  </si>
  <si>
    <t>MODE()</t>
  </si>
  <si>
    <t>MEDIAN()</t>
  </si>
  <si>
    <t>STANDARD DEVIATION()</t>
  </si>
  <si>
    <t>Correlation ()</t>
  </si>
  <si>
    <t>VLOOKUP()</t>
  </si>
  <si>
    <t>HLOOKUP()</t>
  </si>
  <si>
    <t>XLOOKUP()</t>
  </si>
  <si>
    <t>TODAY()</t>
  </si>
  <si>
    <t>NOW()</t>
  </si>
  <si>
    <t xml:space="preserve"> DATEDIF()</t>
  </si>
  <si>
    <t>IF()</t>
  </si>
  <si>
    <t>AND()</t>
  </si>
  <si>
    <t>OR()</t>
  </si>
  <si>
    <r>
      <t xml:space="preserve">                                  </t>
    </r>
    <r>
      <rPr>
        <b/>
        <sz val="12"/>
        <color theme="1"/>
        <rFont val="Calibri"/>
        <family val="2"/>
        <scheme val="minor"/>
      </rPr>
      <t xml:space="preserve"> TEXT FUNCTION</t>
    </r>
  </si>
  <si>
    <r>
      <t xml:space="preserve">                             </t>
    </r>
    <r>
      <rPr>
        <b/>
        <sz val="12"/>
        <color theme="1"/>
        <rFont val="Calibri"/>
        <family val="2"/>
        <scheme val="minor"/>
      </rPr>
      <t>STATISTICS FUNCTION</t>
    </r>
  </si>
  <si>
    <r>
      <t xml:space="preserve">                               </t>
    </r>
    <r>
      <rPr>
        <b/>
        <sz val="12"/>
        <color theme="1"/>
        <rFont val="Calibri"/>
        <family val="2"/>
        <scheme val="minor"/>
      </rPr>
      <t>LOOKUP FUNCTION</t>
    </r>
  </si>
  <si>
    <r>
      <t xml:space="preserve">                            </t>
    </r>
    <r>
      <rPr>
        <b/>
        <sz val="12"/>
        <color theme="1"/>
        <rFont val="Calibri"/>
        <family val="2"/>
        <scheme val="minor"/>
      </rPr>
      <t xml:space="preserve"> LOGICAL FUNCTION</t>
    </r>
  </si>
  <si>
    <r>
      <t xml:space="preserve">                                 </t>
    </r>
    <r>
      <rPr>
        <b/>
        <sz val="12"/>
        <color theme="1"/>
        <rFont val="Calibri"/>
        <family val="2"/>
        <scheme val="minor"/>
      </rPr>
      <t xml:space="preserve"> DATE FUNCTION</t>
    </r>
  </si>
  <si>
    <t>Excel &amp; Advanced Excel Applications in Business Analytics</t>
  </si>
  <si>
    <r>
      <t xml:space="preserve">  </t>
    </r>
    <r>
      <rPr>
        <b/>
        <sz val="18"/>
        <color theme="1"/>
        <rFont val="Calibri"/>
        <family val="2"/>
        <scheme val="minor"/>
      </rPr>
      <t xml:space="preserve">  HUMAN RESOURCES</t>
    </r>
  </si>
  <si>
    <t>Row Labels</t>
  </si>
  <si>
    <t>Grand Total</t>
  </si>
  <si>
    <t>PMT</t>
  </si>
  <si>
    <t>NPV</t>
  </si>
  <si>
    <t xml:space="preserve">                    FINACIAL FUNCTION</t>
  </si>
  <si>
    <t>Sum of Salary</t>
  </si>
  <si>
    <t>Sum of Experience (Years)</t>
  </si>
  <si>
    <t xml:space="preserve">                                    MATHEMATICAL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</si>
</sst>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Red]&quot;₹&quot;\ \-#,##0.00"/>
  </numFmts>
  <fonts count="6" x14ac:knownFonts="1">
    <font>
      <sz val="11"/>
      <color theme="1"/>
      <name val="Calibri"/>
      <family val="2"/>
      <scheme val="minor"/>
    </font>
    <font>
      <sz val="11"/>
      <color theme="1"/>
      <name val="Calibri"/>
      <family val="2"/>
      <scheme val="minor"/>
    </font>
    <font>
      <sz val="11"/>
      <color theme="1"/>
      <name val="Calibri"/>
      <scheme val="minor"/>
    </font>
    <font>
      <b/>
      <sz val="12"/>
      <color theme="1"/>
      <name val="Calibri"/>
      <family val="2"/>
      <scheme val="minor"/>
    </font>
    <font>
      <b/>
      <sz val="18"/>
      <color theme="1"/>
      <name val="Calibri"/>
      <family val="2"/>
      <scheme val="minor"/>
    </font>
    <font>
      <b/>
      <sz val="15"/>
      <color theme="1"/>
      <name val="Calibri"/>
      <family val="2"/>
      <scheme val="minor"/>
    </font>
  </fonts>
  <fills count="5">
    <fill>
      <patternFill patternType="none"/>
    </fill>
    <fill>
      <patternFill patternType="gray125"/>
    </fill>
    <fill>
      <patternFill patternType="solid">
        <fgColor theme="9" tint="0.59999389629810485"/>
        <bgColor theme="9" tint="0.59999389629810485"/>
      </patternFill>
    </fill>
    <fill>
      <patternFill patternType="solid">
        <fgColor theme="9" tint="0.79998168889431442"/>
        <bgColor theme="9" tint="0.79998168889431442"/>
      </patternFill>
    </fill>
    <fill>
      <patternFill patternType="solid">
        <fgColor theme="9"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35">
    <xf numFmtId="0" fontId="0" fillId="0" borderId="0" xfId="0"/>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xf numFmtId="0" fontId="2" fillId="2" borderId="1" xfId="0" applyFont="1" applyFill="1" applyBorder="1" applyAlignment="1">
      <alignment horizontal="center"/>
    </xf>
    <xf numFmtId="0" fontId="2" fillId="3" borderId="1" xfId="0" applyFont="1" applyFill="1" applyBorder="1" applyAlignment="1">
      <alignment horizontal="center"/>
    </xf>
    <xf numFmtId="0" fontId="2" fillId="2" borderId="6" xfId="0" applyFont="1" applyFill="1" applyBorder="1" applyAlignment="1">
      <alignment horizontal="center"/>
    </xf>
    <xf numFmtId="0" fontId="2" fillId="3" borderId="6" xfId="0" applyFont="1" applyFill="1" applyBorder="1" applyAlignment="1">
      <alignment horizontal="center"/>
    </xf>
    <xf numFmtId="0" fontId="0" fillId="0" borderId="11" xfId="0" applyBorder="1" applyAlignment="1">
      <alignment horizontal="center"/>
    </xf>
    <xf numFmtId="0" fontId="0" fillId="0" borderId="12" xfId="0" applyBorder="1"/>
    <xf numFmtId="0" fontId="0" fillId="0" borderId="12" xfId="0" applyBorder="1" applyAlignment="1">
      <alignment horizontal="center"/>
    </xf>
    <xf numFmtId="0" fontId="0" fillId="0" borderId="10" xfId="0" applyBorder="1" applyAlignment="1">
      <alignment horizontal="center"/>
    </xf>
    <xf numFmtId="14" fontId="0" fillId="0" borderId="11" xfId="0" applyNumberFormat="1" applyBorder="1"/>
    <xf numFmtId="0" fontId="1" fillId="2" borderId="1" xfId="0" applyFont="1" applyFill="1" applyBorder="1" applyAlignment="1">
      <alignment horizontal="center"/>
    </xf>
    <xf numFmtId="0" fontId="1" fillId="3" borderId="6" xfId="0" applyFont="1" applyFill="1" applyBorder="1" applyAlignment="1">
      <alignment horizontal="center"/>
    </xf>
    <xf numFmtId="0" fontId="1" fillId="2" borderId="6" xfId="0" applyFont="1" applyFill="1" applyBorder="1" applyAlignment="1">
      <alignment horizontal="center"/>
    </xf>
    <xf numFmtId="22" fontId="0" fillId="0" borderId="12" xfId="0" applyNumberFormat="1" applyBorder="1"/>
    <xf numFmtId="0" fontId="0" fillId="4" borderId="0" xfId="0" applyFill="1"/>
    <xf numFmtId="0" fontId="5" fillId="4" borderId="0" xfId="0" applyFont="1" applyFill="1"/>
    <xf numFmtId="0" fontId="3" fillId="4"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pivotButton="1" applyBorder="1" applyAlignment="1">
      <alignment horizontal="center"/>
    </xf>
    <xf numFmtId="0" fontId="3" fillId="4" borderId="0" xfId="0" applyFont="1" applyFill="1" applyAlignment="1">
      <alignment horizontal="center"/>
    </xf>
    <xf numFmtId="0" fontId="0" fillId="4" borderId="0" xfId="0" applyFill="1" applyAlignment="1">
      <alignment horizontal="center"/>
    </xf>
    <xf numFmtId="164" fontId="0" fillId="0" borderId="6" xfId="0" applyNumberFormat="1" applyBorder="1" applyAlignment="1">
      <alignment horizontal="center"/>
    </xf>
    <xf numFmtId="164" fontId="0" fillId="0" borderId="9" xfId="0" applyNumberFormat="1" applyBorder="1" applyAlignment="1">
      <alignment horizontal="center"/>
    </xf>
  </cellXfs>
  <cellStyles count="1">
    <cellStyle name="Normal" xfId="0" builtinId="0"/>
  </cellStyles>
  <dxfs count="72">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 #,##0.00;[Red]&quot;₹&quot;\ \-#,##0.0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right/>
        <top style="thin">
          <color indexed="64"/>
        </top>
        <bottom style="thin">
          <color indexed="64"/>
        </bottom>
      </border>
    </dxf>
    <dxf>
      <numFmt numFmtId="164" formatCode="&quot;₹&quot;\ #,##0.00;[Red]&quot;₹&quot;\ \-#,##0.00"/>
      <alignment horizontal="left" vertical="bottom" textRotation="0" wrapText="0" indent="0" justifyLastLine="0" shrinkToFit="0" readingOrder="0"/>
      <border diagonalUp="0" diagonalDown="0" outline="0">
        <left style="thin">
          <color indexed="64"/>
        </left>
        <right/>
        <top/>
        <bottom style="thin">
          <color indexed="64"/>
        </bottom>
      </border>
    </dxf>
    <dxf>
      <alignment horizontal="left" vertical="bottom" textRotation="0" wrapText="0" indent="0" justifyLastLine="0" shrinkToFit="0" readingOrder="0"/>
      <border diagonalUp="0" diagonalDown="0" outline="0">
        <left/>
        <right style="thin">
          <color indexed="64"/>
        </right>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outline="0">
        <left/>
        <right/>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center" vertical="bottom" textRotation="0" wrapText="0"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calcChain" Target="calcChain.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marker>
          <c:symbol val="circle"/>
          <c:size val="5"/>
          <c:spPr>
            <a:solidFill>
              <a:schemeClr val="accent1"/>
            </a:solidFill>
            <a:ln w="22225">
              <a:solidFill>
                <a:schemeClr val="lt1"/>
              </a:solidFill>
              <a:round/>
            </a:ln>
            <a:effectLst/>
          </c:spPr>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a:noFill/>
          </a:ln>
          <a:effectLst/>
          <a:sp3d/>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20000"/>
              <a:lumOff val="80000"/>
            </a:schemeClr>
          </a:solidFill>
          <a:ln>
            <a:noFill/>
          </a:ln>
          <a:effectLst/>
          <a:sp3d/>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lumMod val="20000"/>
                <a:lumOff val="80000"/>
              </a:schemeClr>
            </a:solidFill>
            <a:ln>
              <a:noFill/>
            </a:ln>
            <a:effectLst/>
            <a:sp3d/>
          </c:spPr>
          <c:invertIfNegative val="0"/>
          <c:dLbls>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Lit>
              <c:ptCount val="1"/>
              <c:pt idx="0">
                <c:v>Total</c:v>
              </c:pt>
            </c:strLit>
          </c:cat>
          <c:val>
            <c:numLit>
              <c:formatCode>General</c:formatCode>
              <c:ptCount val="1"/>
              <c:pt idx="0">
                <c:v>1447500</c:v>
              </c:pt>
            </c:numLit>
          </c:val>
          <c:extLst>
            <c:ext xmlns:c16="http://schemas.microsoft.com/office/drawing/2014/chart" uri="{C3380CC4-5D6E-409C-BE32-E72D297353CC}">
              <c16:uniqueId val="{00000000-3D5B-45AC-B70E-0EBD76397942}"/>
            </c:ext>
          </c:extLst>
        </c:ser>
        <c:dLbls>
          <c:showLegendKey val="0"/>
          <c:showVal val="1"/>
          <c:showCatName val="0"/>
          <c:showSerName val="0"/>
          <c:showPercent val="0"/>
          <c:showBubbleSize val="0"/>
        </c:dLbls>
        <c:gapWidth val="154"/>
        <c:gapDepth val="0"/>
        <c:shape val="box"/>
        <c:axId val="511124063"/>
        <c:axId val="350154975"/>
        <c:axId val="0"/>
      </c:bar3DChart>
      <c:catAx>
        <c:axId val="511124063"/>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350154975"/>
        <c:crosses val="autoZero"/>
        <c:auto val="1"/>
        <c:lblAlgn val="ctr"/>
        <c:lblOffset val="100"/>
        <c:noMultiLvlLbl val="0"/>
      </c:catAx>
      <c:valAx>
        <c:axId val="350154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1112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65000"/>
        <a:lumOff val="3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SALARY AND DEPARTEMENT</a:t>
            </a:r>
          </a:p>
        </c:rich>
      </c:tx>
      <c:layout>
        <c:manualLayout>
          <c:xMode val="edge"/>
          <c:yMode val="edge"/>
          <c:x val="0.22576377952755899"/>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Finance</c:v>
              </c:pt>
              <c:pt idx="1">
                <c:v>HR</c:v>
              </c:pt>
              <c:pt idx="2">
                <c:v>IT</c:v>
              </c:pt>
              <c:pt idx="3">
                <c:v>Marketing</c:v>
              </c:pt>
              <c:pt idx="4">
                <c:v>Sales</c:v>
              </c:pt>
            </c:strLit>
          </c:cat>
          <c:val>
            <c:numLit>
              <c:formatCode>General</c:formatCode>
              <c:ptCount val="5"/>
              <c:pt idx="0">
                <c:v>45250</c:v>
              </c:pt>
              <c:pt idx="1">
                <c:v>51250</c:v>
              </c:pt>
              <c:pt idx="2">
                <c:v>49750</c:v>
              </c:pt>
              <c:pt idx="3">
                <c:v>46750</c:v>
              </c:pt>
              <c:pt idx="4">
                <c:v>48250</c:v>
              </c:pt>
            </c:numLit>
          </c:val>
          <c:extLst>
            <c:ext xmlns:c16="http://schemas.microsoft.com/office/drawing/2014/chart" uri="{C3380CC4-5D6E-409C-BE32-E72D297353CC}">
              <c16:uniqueId val="{00000000-293F-4169-8A49-E5CC9AD3A7DC}"/>
            </c:ext>
          </c:extLst>
        </c:ser>
        <c:dLbls>
          <c:dLblPos val="ctr"/>
          <c:showLegendKey val="0"/>
          <c:showVal val="1"/>
          <c:showCatName val="0"/>
          <c:showSerName val="0"/>
          <c:showPercent val="0"/>
          <c:showBubbleSize val="0"/>
        </c:dLbls>
        <c:gapWidth val="150"/>
        <c:overlap val="100"/>
        <c:axId val="585157247"/>
        <c:axId val="585156415"/>
      </c:barChart>
      <c:catAx>
        <c:axId val="5851572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5156415"/>
        <c:crosses val="autoZero"/>
        <c:auto val="1"/>
        <c:lblAlgn val="ctr"/>
        <c:lblOffset val="100"/>
        <c:noMultiLvlLbl val="0"/>
      </c:catAx>
      <c:valAx>
        <c:axId val="5851564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51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510540</xdr:colOff>
      <xdr:row>34</xdr:row>
      <xdr:rowOff>167640</xdr:rowOff>
    </xdr:from>
    <xdr:to>
      <xdr:col>6</xdr:col>
      <xdr:colOff>123964</xdr:colOff>
      <xdr:row>49</xdr:row>
      <xdr:rowOff>126009</xdr:rowOff>
    </xdr:to>
    <xdr:graphicFrame macro="">
      <xdr:nvGraphicFramePr>
        <xdr:cNvPr id="2" name="Chart 1">
          <a:extLst>
            <a:ext uri="{FF2B5EF4-FFF2-40B4-BE49-F238E27FC236}">
              <a16:creationId xmlns:a16="http://schemas.microsoft.com/office/drawing/2014/main" id="{EAAD77DF-5007-488E-86D0-F01891352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7</xdr:col>
      <xdr:colOff>304800</xdr:colOff>
      <xdr:row>0</xdr:row>
      <xdr:rowOff>30480</xdr:rowOff>
    </xdr:from>
    <xdr:to>
      <xdr:col>10</xdr:col>
      <xdr:colOff>335280</xdr:colOff>
      <xdr:row>1</xdr:row>
      <xdr:rowOff>335280</xdr:rowOff>
    </xdr:to>
    <mc:AlternateContent xmlns:mc="http://schemas.openxmlformats.org/markup-compatibility/2006" xmlns:sle15="http://schemas.microsoft.com/office/drawing/2012/slicer">
      <mc:Choice Requires="sle15">
        <xdr:graphicFrame macro="">
          <xdr:nvGraphicFramePr>
            <xdr:cNvPr id="3" name="Department">
              <a:extLst>
                <a:ext uri="{FF2B5EF4-FFF2-40B4-BE49-F238E27FC236}">
                  <a16:creationId xmlns:a16="http://schemas.microsoft.com/office/drawing/2014/main" id="{7DD2DE87-C38D-4609-82E0-BC91AB964D4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103620" y="30480"/>
              <a:ext cx="3947160" cy="6477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0</xdr:colOff>
      <xdr:row>52</xdr:row>
      <xdr:rowOff>0</xdr:rowOff>
    </xdr:from>
    <xdr:to>
      <xdr:col>5</xdr:col>
      <xdr:colOff>670560</xdr:colOff>
      <xdr:row>67</xdr:row>
      <xdr:rowOff>0</xdr:rowOff>
    </xdr:to>
    <xdr:graphicFrame macro="">
      <xdr:nvGraphicFramePr>
        <xdr:cNvPr id="4" name="Chart 3">
          <a:extLst>
            <a:ext uri="{FF2B5EF4-FFF2-40B4-BE49-F238E27FC236}">
              <a16:creationId xmlns:a16="http://schemas.microsoft.com/office/drawing/2014/main" id="{F0AA28ED-6E85-446D-B0BA-F831BCC33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69.811500462965" createdVersion="7" refreshedVersion="7" minRefreshableVersion="3" recordCount="30" xr:uid="{1F281936-F01A-4CFA-9C14-37E47C10985D}">
  <cacheSource type="worksheet">
    <worksheetSource name="Table1"/>
  </cacheSource>
  <cacheFields count="5">
    <cacheField name="Employee ID" numFmtId="0">
      <sharedItems/>
    </cacheField>
    <cacheField name="Department" numFmtId="0">
      <sharedItems count="5">
        <s v="Finance"/>
        <s v="Marketing"/>
        <s v="Sales"/>
        <s v="IT"/>
        <s v="HR"/>
      </sharedItems>
    </cacheField>
    <cacheField name="Salary" numFmtId="0">
      <sharedItems containsSemiMixedTypes="0" containsString="0" containsNumber="1" containsInteger="1" minValue="26500" maxValue="70000" count="30">
        <n v="26500"/>
        <n v="28000"/>
        <n v="29500"/>
        <n v="31000"/>
        <n v="32500"/>
        <n v="34000"/>
        <n v="35500"/>
        <n v="37000"/>
        <n v="38500"/>
        <n v="40000"/>
        <n v="41500"/>
        <n v="43000"/>
        <n v="44500"/>
        <n v="46000"/>
        <n v="47500"/>
        <n v="49000"/>
        <n v="50500"/>
        <n v="52000"/>
        <n v="53500"/>
        <n v="55000"/>
        <n v="56500"/>
        <n v="58000"/>
        <n v="59500"/>
        <n v="61000"/>
        <n v="62500"/>
        <n v="64000"/>
        <n v="65500"/>
        <n v="67000"/>
        <n v="68500"/>
        <n v="70000"/>
      </sharedItems>
    </cacheField>
    <cacheField name="Experience (Years)" numFmtId="0">
      <sharedItems containsSemiMixedTypes="0" containsString="0" containsNumber="1" containsInteger="1" minValue="1" maxValue="10"/>
    </cacheField>
    <cacheField name="Attrition" numFmtId="0">
      <sharedItems count="2">
        <s v="No"/>
        <s v="Y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E001"/>
    <x v="0"/>
    <x v="0"/>
    <n v="2"/>
    <x v="0"/>
  </r>
  <r>
    <s v="E002"/>
    <x v="1"/>
    <x v="1"/>
    <n v="3"/>
    <x v="0"/>
  </r>
  <r>
    <s v="E003"/>
    <x v="2"/>
    <x v="2"/>
    <n v="4"/>
    <x v="0"/>
  </r>
  <r>
    <s v="E004"/>
    <x v="3"/>
    <x v="3"/>
    <n v="5"/>
    <x v="0"/>
  </r>
  <r>
    <s v="E005"/>
    <x v="4"/>
    <x v="4"/>
    <n v="6"/>
    <x v="0"/>
  </r>
  <r>
    <s v="E006"/>
    <x v="0"/>
    <x v="5"/>
    <n v="7"/>
    <x v="0"/>
  </r>
  <r>
    <s v="E007"/>
    <x v="1"/>
    <x v="6"/>
    <n v="8"/>
    <x v="1"/>
  </r>
  <r>
    <s v="E008"/>
    <x v="2"/>
    <x v="7"/>
    <n v="9"/>
    <x v="0"/>
  </r>
  <r>
    <s v="E009"/>
    <x v="3"/>
    <x v="8"/>
    <n v="10"/>
    <x v="0"/>
  </r>
  <r>
    <s v="E010"/>
    <x v="4"/>
    <x v="9"/>
    <n v="1"/>
    <x v="0"/>
  </r>
  <r>
    <s v="E011"/>
    <x v="0"/>
    <x v="10"/>
    <n v="2"/>
    <x v="0"/>
  </r>
  <r>
    <s v="E012"/>
    <x v="1"/>
    <x v="11"/>
    <n v="3"/>
    <x v="0"/>
  </r>
  <r>
    <s v="E013"/>
    <x v="2"/>
    <x v="12"/>
    <n v="4"/>
    <x v="0"/>
  </r>
  <r>
    <s v="E014"/>
    <x v="3"/>
    <x v="13"/>
    <n v="5"/>
    <x v="1"/>
  </r>
  <r>
    <s v="E015"/>
    <x v="4"/>
    <x v="14"/>
    <n v="6"/>
    <x v="0"/>
  </r>
  <r>
    <s v="E016"/>
    <x v="0"/>
    <x v="15"/>
    <n v="7"/>
    <x v="0"/>
  </r>
  <r>
    <s v="E017"/>
    <x v="1"/>
    <x v="16"/>
    <n v="8"/>
    <x v="0"/>
  </r>
  <r>
    <s v="E018"/>
    <x v="2"/>
    <x v="17"/>
    <n v="9"/>
    <x v="0"/>
  </r>
  <r>
    <s v="E019"/>
    <x v="3"/>
    <x v="18"/>
    <n v="10"/>
    <x v="0"/>
  </r>
  <r>
    <s v="E020"/>
    <x v="4"/>
    <x v="19"/>
    <n v="1"/>
    <x v="0"/>
  </r>
  <r>
    <s v="E021"/>
    <x v="0"/>
    <x v="20"/>
    <n v="2"/>
    <x v="1"/>
  </r>
  <r>
    <s v="E022"/>
    <x v="1"/>
    <x v="21"/>
    <n v="3"/>
    <x v="0"/>
  </r>
  <r>
    <s v="E023"/>
    <x v="2"/>
    <x v="22"/>
    <n v="4"/>
    <x v="0"/>
  </r>
  <r>
    <s v="E024"/>
    <x v="3"/>
    <x v="23"/>
    <n v="5"/>
    <x v="0"/>
  </r>
  <r>
    <s v="E025"/>
    <x v="4"/>
    <x v="24"/>
    <n v="6"/>
    <x v="0"/>
  </r>
  <r>
    <s v="E026"/>
    <x v="0"/>
    <x v="25"/>
    <n v="7"/>
    <x v="0"/>
  </r>
  <r>
    <s v="E027"/>
    <x v="1"/>
    <x v="26"/>
    <n v="8"/>
    <x v="0"/>
  </r>
  <r>
    <s v="E028"/>
    <x v="2"/>
    <x v="27"/>
    <n v="9"/>
    <x v="1"/>
  </r>
  <r>
    <s v="E029"/>
    <x v="3"/>
    <x v="28"/>
    <n v="10"/>
    <x v="0"/>
  </r>
  <r>
    <s v="E030"/>
    <x v="4"/>
    <x v="29"/>
    <n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42D3EC-48B0-4F12-95C8-7A5157F89F2C}"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12:L18" firstHeaderRow="1" firstDataRow="1" firstDataCol="1"/>
  <pivotFields count="5">
    <pivotField showAll="0"/>
    <pivotField axis="axisRow" showAll="0">
      <items count="6">
        <item x="0"/>
        <item x="4"/>
        <item x="3"/>
        <item x="1"/>
        <item x="2"/>
        <item t="default"/>
      </items>
    </pivotField>
    <pivotField showAll="0"/>
    <pivotField dataField="1" showAll="0"/>
    <pivotField showAll="0">
      <items count="3">
        <item x="0"/>
        <item x="1"/>
        <item t="default"/>
      </items>
    </pivotField>
  </pivotFields>
  <rowFields count="1">
    <field x="1"/>
  </rowFields>
  <rowItems count="6">
    <i>
      <x/>
    </i>
    <i>
      <x v="1"/>
    </i>
    <i>
      <x v="2"/>
    </i>
    <i>
      <x v="3"/>
    </i>
    <i>
      <x v="4"/>
    </i>
    <i t="grand">
      <x/>
    </i>
  </rowItems>
  <colItems count="1">
    <i/>
  </colItems>
  <dataFields count="1">
    <dataField name="Sum of Experience (Years)" fld="3" baseField="0" baseItem="0"/>
  </dataFields>
  <formats count="12">
    <format dxfId="59">
      <pivotArea type="all" dataOnly="0" outline="0" fieldPosition="0"/>
    </format>
    <format dxfId="58">
      <pivotArea outline="0" collapsedLevelsAreSubtotals="1" fieldPosition="0"/>
    </format>
    <format dxfId="57">
      <pivotArea field="1" type="button" dataOnly="0" labelOnly="1" outline="0" axis="axisRow" fieldPosition="0"/>
    </format>
    <format dxfId="56">
      <pivotArea dataOnly="0" labelOnly="1" fieldPosition="0">
        <references count="1">
          <reference field="1" count="0"/>
        </references>
      </pivotArea>
    </format>
    <format dxfId="55">
      <pivotArea dataOnly="0" labelOnly="1" grandRow="1" outline="0"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1" type="button" dataOnly="0" labelOnly="1" outline="0" axis="axisRow" fieldPosition="0"/>
    </format>
    <format dxfId="50">
      <pivotArea dataOnly="0" labelOnly="1" fieldPosition="0">
        <references count="1">
          <reference field="1" count="0"/>
        </references>
      </pivotArea>
    </format>
    <format dxfId="49">
      <pivotArea dataOnly="0" labelOnly="1" grandRow="1" outline="0" fieldPosition="0"/>
    </format>
    <format dxfId="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124C77-CEF4-4CE9-AEA0-77723571F87E}"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4:L10" firstHeaderRow="1" firstDataRow="1" firstDataCol="1"/>
  <pivotFields count="5">
    <pivotField showAll="0"/>
    <pivotField axis="axisRow" showAll="0">
      <items count="6">
        <item x="0"/>
        <item x="4"/>
        <item x="3"/>
        <item x="1"/>
        <item x="2"/>
        <item t="default"/>
      </items>
    </pivotField>
    <pivotField dataField="1" showAll="0"/>
    <pivotField showAll="0"/>
    <pivotField showAll="0"/>
  </pivotFields>
  <rowFields count="1">
    <field x="1"/>
  </rowFields>
  <rowItems count="6">
    <i>
      <x/>
    </i>
    <i>
      <x v="1"/>
    </i>
    <i>
      <x v="2"/>
    </i>
    <i>
      <x v="3"/>
    </i>
    <i>
      <x v="4"/>
    </i>
    <i t="grand">
      <x/>
    </i>
  </rowItems>
  <colItems count="1">
    <i/>
  </colItems>
  <dataFields count="1">
    <dataField name="Sum of Salary" fld="2" baseField="0" baseItem="0"/>
  </dataFields>
  <formats count="12">
    <format dxfId="71">
      <pivotArea type="all" dataOnly="0" outline="0" fieldPosition="0"/>
    </format>
    <format dxfId="70">
      <pivotArea outline="0" collapsedLevelsAreSubtotals="1" fieldPosition="0"/>
    </format>
    <format dxfId="69">
      <pivotArea field="1" type="button" dataOnly="0" labelOnly="1" outline="0" axis="axisRow" fieldPosition="0"/>
    </format>
    <format dxfId="68">
      <pivotArea dataOnly="0" labelOnly="1" fieldPosition="0">
        <references count="1">
          <reference field="1" count="0"/>
        </references>
      </pivotArea>
    </format>
    <format dxfId="67">
      <pivotArea dataOnly="0" labelOnly="1" grandRow="1" outline="0"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1" type="button" dataOnly="0" labelOnly="1" outline="0" axis="axisRow" fieldPosition="0"/>
    </format>
    <format dxfId="62">
      <pivotArea dataOnly="0" labelOnly="1" fieldPosition="0">
        <references count="1">
          <reference field="1" count="0"/>
        </references>
      </pivotArea>
    </format>
    <format dxfId="61">
      <pivotArea dataOnly="0" labelOnly="1" grandRow="1" outline="0" fieldPosition="0"/>
    </format>
    <format dxfId="6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A14067-141E-4222-8339-7317E65267E3}"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47:H62" firstHeaderRow="1" firstDataRow="1" firstDataCol="1"/>
  <pivotFields count="5">
    <pivotField showAll="0"/>
    <pivotField axis="axisRow" showAll="0">
      <items count="6">
        <item x="0"/>
        <item x="4"/>
        <item x="3"/>
        <item x="1"/>
        <item x="2"/>
        <item t="default"/>
      </items>
    </pivotField>
    <pivotField showAll="0"/>
    <pivotField showAll="0"/>
    <pivotField axis="axisRow" showAll="0">
      <items count="3">
        <item x="0"/>
        <item x="1"/>
        <item t="default"/>
      </items>
    </pivotField>
  </pivotFields>
  <rowFields count="2">
    <field x="1"/>
    <field x="4"/>
  </rowFields>
  <rowItems count="15">
    <i>
      <x/>
    </i>
    <i r="1">
      <x/>
    </i>
    <i r="1">
      <x v="1"/>
    </i>
    <i>
      <x v="1"/>
    </i>
    <i r="1">
      <x/>
    </i>
    <i>
      <x v="2"/>
    </i>
    <i r="1">
      <x/>
    </i>
    <i r="1">
      <x v="1"/>
    </i>
    <i>
      <x v="3"/>
    </i>
    <i r="1">
      <x/>
    </i>
    <i r="1">
      <x v="1"/>
    </i>
    <i>
      <x v="4"/>
    </i>
    <i r="1">
      <x/>
    </i>
    <i r="1">
      <x v="1"/>
    </i>
    <i t="grand">
      <x/>
    </i>
  </rowItems>
  <colItems count="1">
    <i/>
  </colItem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7A91939-96D3-48C6-95FF-9BD9634AA414}" sourceName="Department">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4B52379-ADC1-4CB8-865C-249F2F54E099}" cache="Slicer_Department" caption="Department" columnCoun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5F1B79-57B8-4D76-B2AD-5BE11F4ECF23}" name="Table1" displayName="Table1" ref="B4:F34" totalsRowShown="0" headerRowDxfId="47" dataDxfId="45" headerRowBorderDxfId="46" tableBorderDxfId="44" totalsRowBorderDxfId="43">
  <autoFilter ref="B4:F34" xr:uid="{235F1B79-57B8-4D76-B2AD-5BE11F4ECF23}">
    <filterColumn colId="0" hiddenButton="1"/>
    <filterColumn colId="1" hiddenButton="1"/>
    <filterColumn colId="2" hiddenButton="1"/>
    <filterColumn colId="3" hiddenButton="1"/>
    <filterColumn colId="4" hiddenButton="1"/>
  </autoFilter>
  <tableColumns count="5">
    <tableColumn id="1" xr3:uid="{39E0121F-C45C-4E0B-8FEF-D769EA16EF65}" name="Employee ID" dataDxfId="42"/>
    <tableColumn id="2" xr3:uid="{603AD0FA-7809-49BD-A88A-80AF6054D447}" name="Department" dataDxfId="41"/>
    <tableColumn id="3" xr3:uid="{02422556-FB9A-4133-B440-3A69CEB26D2A}" name="Salary" dataDxfId="40"/>
    <tableColumn id="4" xr3:uid="{FB6BD325-E2D5-416E-89B5-3DA18BADFBEE}" name="Experience (Years)" dataDxfId="39"/>
    <tableColumn id="5" xr3:uid="{B264A447-AD92-4249-B09A-A2155532689A}" name="Attrition" dataDxfId="38"/>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9C89D6-6E37-4949-91A5-3DCE64904B7D}" name="Table3" displayName="Table3" ref="I30:I32" headerRowCount="0" totalsRowShown="0" headerRowDxfId="37" tableBorderDxfId="36" totalsRowBorderDxfId="35">
  <tableColumns count="1">
    <tableColumn id="1" xr3:uid="{A39F77BD-E831-47EE-9EDE-1BC343F87565}" name="Column1" dataDxfId="34"/>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37DE406-A1D5-48A0-AD3F-DDF9E02E5730}" name="Table4" displayName="Table4" ref="I25:I27" headerRowCount="0" totalsRowShown="0" headerRowDxfId="33" tableBorderDxfId="32" totalsRowBorderDxfId="31">
  <tableColumns count="1">
    <tableColumn id="1" xr3:uid="{8591048C-D585-4B13-B571-59D65A0B46BA}" name="Column1" dataDxfId="30">
      <calculatedColumnFormula>VLOOKUP(B5,B5:F34,3,FALSE)</calculatedColumnFormula>
    </tableColumn>
  </tableColumns>
  <tableStyleInfo name="TableStyleMedium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AE9DB4F-417C-42C6-A65E-A1AA25427AC0}" name="Table9" displayName="Table9" ref="I12:I15" headerRowCount="0" totalsRowShown="0" headerRowDxfId="29" dataDxfId="28" tableBorderDxfId="27" totalsRowBorderDxfId="26">
  <tableColumns count="1">
    <tableColumn id="1" xr3:uid="{351408A5-BC73-4AF5-88D4-6F30A2970608}" name="Column1" dataDxfId="25"/>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D7DDDDE-801A-4662-905D-5E9D96BFDDD3}" name="Table10" displayName="Table10" ref="I18:I22" headerRowCount="0" totalsRowShown="0" headerRowDxfId="24" dataDxfId="23" tableBorderDxfId="22" totalsRowBorderDxfId="21">
  <tableColumns count="1">
    <tableColumn id="1" xr3:uid="{24D7D737-5EF8-42AD-8B64-6AD5F1A82B63}" name="Column1" dataDxfId="20"/>
  </tableColumns>
  <tableStyleInfo name="TableStyleMedium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079949A-1376-476C-B8FC-E023BA37F8E2}" name="Table11" displayName="Table11" ref="I5:I9" headerRowCount="0" totalsRowShown="0" headerRowDxfId="5" dataDxfId="4" headerRowBorderDxfId="19" tableBorderDxfId="18" totalsRowBorderDxfId="17">
  <tableColumns count="1">
    <tableColumn id="1" xr3:uid="{A0D0F5DB-4695-48A8-A3A4-7E37EA6B9AD5}" name="Column1" headerRowDxfId="16" dataDxfId="6"/>
  </tableColumns>
  <tableStyleInfo name="TableStyleMedium1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083F5B1-F6B2-4520-9765-9692D940960A}" name="Table14" displayName="Table14" ref="I35:I37" headerRowCount="0" totalsRowShown="0" headerRowDxfId="15" tableBorderDxfId="14" totalsRowBorderDxfId="13">
  <tableColumns count="1">
    <tableColumn id="1" xr3:uid="{90F27A21-53D8-4662-A22F-C28314205895}" name="Column1" dataDxfId="12"/>
  </tableColumns>
  <tableStyleInfo name="TableStyleMedium1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EE8D03-78E2-41B8-AC83-EB169D426D5E}" name="Table2" displayName="Table2" ref="H40:I41" headerRowCount="0" totalsRowShown="0" headerRowDxfId="1" dataDxfId="0" headerRowBorderDxfId="11" tableBorderDxfId="10" totalsRowBorderDxfId="9">
  <tableColumns count="2">
    <tableColumn id="1" xr3:uid="{67C423A7-20E8-496B-9C42-C19B1A36A3A8}" name="Column1" headerRowDxfId="8" dataDxfId="3"/>
    <tableColumn id="2" xr3:uid="{1A0AF754-B686-45D3-B980-39A975FCF0F2}" name="Column2" headerRowDxfId="7" dataDxfId="2">
      <calculatedColumnFormula>NPV(5%,D4:D33)</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3.xml"/><Relationship Id="rId13" Type="http://schemas.openxmlformats.org/officeDocument/2006/relationships/table" Target="../tables/table8.xml"/><Relationship Id="rId3" Type="http://schemas.openxmlformats.org/officeDocument/2006/relationships/pivotTable" Target="../pivotTables/pivotTable3.xml"/><Relationship Id="rId7" Type="http://schemas.openxmlformats.org/officeDocument/2006/relationships/table" Target="../tables/table2.xml"/><Relationship Id="rId12" Type="http://schemas.openxmlformats.org/officeDocument/2006/relationships/table" Target="../tables/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11" Type="http://schemas.openxmlformats.org/officeDocument/2006/relationships/table" Target="../tables/table6.xml"/><Relationship Id="rId5" Type="http://schemas.openxmlformats.org/officeDocument/2006/relationships/drawing" Target="../drawings/drawing1.xml"/><Relationship Id="rId10" Type="http://schemas.openxmlformats.org/officeDocument/2006/relationships/table" Target="../tables/table5.xml"/><Relationship Id="rId4" Type="http://schemas.openxmlformats.org/officeDocument/2006/relationships/printerSettings" Target="../printerSettings/printerSettings1.bin"/><Relationship Id="rId9" Type="http://schemas.openxmlformats.org/officeDocument/2006/relationships/table" Target="../tables/table4.xml"/><Relationship Id="rId1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2"/>
  <sheetViews>
    <sheetView tabSelected="1" workbookViewId="0">
      <pane xSplit="2" ySplit="5" topLeftCell="C6" activePane="bottomRight" state="frozen"/>
      <selection pane="topRight" activeCell="C1" sqref="C1"/>
      <selection pane="bottomLeft" activeCell="A6" sqref="A6"/>
      <selection pane="bottomRight" activeCell="I23" sqref="I23"/>
    </sheetView>
  </sheetViews>
  <sheetFormatPr defaultRowHeight="14.4" x14ac:dyDescent="0.3"/>
  <cols>
    <col min="2" max="2" width="13.44140625" customWidth="1"/>
    <col min="3" max="3" width="13" customWidth="1"/>
    <col min="4" max="4" width="12.21875" customWidth="1"/>
    <col min="5" max="5" width="18.21875" customWidth="1"/>
    <col min="6" max="6" width="9.88671875" customWidth="1"/>
    <col min="8" max="8" width="21.33203125" customWidth="1"/>
    <col min="9" max="9" width="24.33203125" customWidth="1"/>
    <col min="10" max="10" width="11.44140625" bestFit="1" customWidth="1"/>
    <col min="11" max="11" width="14.6640625" bestFit="1" customWidth="1"/>
    <col min="12" max="12" width="21.88671875" customWidth="1"/>
  </cols>
  <sheetData>
    <row r="1" spans="1:12" ht="27" customHeight="1" x14ac:dyDescent="0.4">
      <c r="A1" s="24"/>
      <c r="B1" s="25" t="s">
        <v>70</v>
      </c>
      <c r="C1" s="24"/>
      <c r="D1" s="24"/>
      <c r="E1" s="24"/>
      <c r="F1" s="24"/>
      <c r="G1" s="24"/>
    </row>
    <row r="2" spans="1:12" ht="27" customHeight="1" x14ac:dyDescent="0.45">
      <c r="A2" s="24"/>
      <c r="B2" s="25"/>
      <c r="C2" s="26" t="s">
        <v>71</v>
      </c>
      <c r="D2" s="24"/>
      <c r="E2" s="24"/>
      <c r="F2" s="24"/>
      <c r="G2" s="24"/>
    </row>
    <row r="3" spans="1:12" x14ac:dyDescent="0.3">
      <c r="A3" s="24"/>
      <c r="B3" s="24"/>
      <c r="C3" s="24"/>
      <c r="D3" s="24"/>
      <c r="E3" s="24"/>
      <c r="F3" s="24"/>
      <c r="G3" s="24"/>
    </row>
    <row r="4" spans="1:12" ht="15.6" x14ac:dyDescent="0.3">
      <c r="B4" s="1" t="s">
        <v>0</v>
      </c>
      <c r="C4" s="2" t="s">
        <v>1</v>
      </c>
      <c r="D4" s="2" t="s">
        <v>2</v>
      </c>
      <c r="E4" s="2" t="s">
        <v>3</v>
      </c>
      <c r="F4" s="3" t="s">
        <v>4</v>
      </c>
      <c r="H4" s="31" t="s">
        <v>79</v>
      </c>
      <c r="I4" s="32"/>
      <c r="K4" s="30" t="s">
        <v>72</v>
      </c>
      <c r="L4" s="5" t="s">
        <v>77</v>
      </c>
    </row>
    <row r="5" spans="1:12" x14ac:dyDescent="0.3">
      <c r="B5" s="4" t="s">
        <v>5</v>
      </c>
      <c r="C5" s="5" t="s">
        <v>6</v>
      </c>
      <c r="D5" s="5">
        <v>26500</v>
      </c>
      <c r="E5" s="5">
        <v>2</v>
      </c>
      <c r="F5" s="6" t="s">
        <v>7</v>
      </c>
      <c r="H5" s="13" t="s">
        <v>42</v>
      </c>
      <c r="I5" s="17">
        <f>SUM(Table1[Salary])</f>
        <v>1447500</v>
      </c>
      <c r="K5" s="5" t="s">
        <v>6</v>
      </c>
      <c r="L5" s="5">
        <v>271500</v>
      </c>
    </row>
    <row r="6" spans="1:12" x14ac:dyDescent="0.3">
      <c r="B6" s="4" t="s">
        <v>8</v>
      </c>
      <c r="C6" s="5" t="s">
        <v>9</v>
      </c>
      <c r="D6" s="5">
        <v>28000</v>
      </c>
      <c r="E6" s="5">
        <v>3</v>
      </c>
      <c r="F6" s="6" t="s">
        <v>7</v>
      </c>
      <c r="H6" s="14" t="s">
        <v>43</v>
      </c>
      <c r="I6" s="17">
        <f>AVERAGE(Table1[Salary])</f>
        <v>48250</v>
      </c>
      <c r="K6" s="5" t="s">
        <v>15</v>
      </c>
      <c r="L6" s="5">
        <v>307500</v>
      </c>
    </row>
    <row r="7" spans="1:12" x14ac:dyDescent="0.3">
      <c r="B7" s="4" t="s">
        <v>10</v>
      </c>
      <c r="C7" s="5" t="s">
        <v>11</v>
      </c>
      <c r="D7" s="5">
        <v>29500</v>
      </c>
      <c r="E7" s="5">
        <v>4</v>
      </c>
      <c r="F7" s="6" t="s">
        <v>7</v>
      </c>
      <c r="H7" s="13" t="s">
        <v>44</v>
      </c>
      <c r="I7" s="17">
        <f>MIN(Table1[Salary])</f>
        <v>26500</v>
      </c>
      <c r="K7" s="5" t="s">
        <v>13</v>
      </c>
      <c r="L7" s="5">
        <v>298500</v>
      </c>
    </row>
    <row r="8" spans="1:12" x14ac:dyDescent="0.3">
      <c r="B8" s="4" t="s">
        <v>12</v>
      </c>
      <c r="C8" s="5" t="s">
        <v>13</v>
      </c>
      <c r="D8" s="5">
        <v>31000</v>
      </c>
      <c r="E8" s="5">
        <v>5</v>
      </c>
      <c r="F8" s="6" t="s">
        <v>7</v>
      </c>
      <c r="H8" s="14" t="s">
        <v>45</v>
      </c>
      <c r="I8" s="17">
        <f>MAX(Table1[Salary])</f>
        <v>70000</v>
      </c>
      <c r="K8" s="5" t="s">
        <v>9</v>
      </c>
      <c r="L8" s="5">
        <v>280500</v>
      </c>
    </row>
    <row r="9" spans="1:12" x14ac:dyDescent="0.3">
      <c r="B9" s="4" t="s">
        <v>14</v>
      </c>
      <c r="C9" s="5" t="s">
        <v>15</v>
      </c>
      <c r="D9" s="5">
        <v>32500</v>
      </c>
      <c r="E9" s="5">
        <v>6</v>
      </c>
      <c r="F9" s="6" t="s">
        <v>7</v>
      </c>
      <c r="H9" s="13" t="s">
        <v>46</v>
      </c>
      <c r="I9" s="18">
        <f>COUNT(Table1[Salary])</f>
        <v>30</v>
      </c>
      <c r="K9" s="5" t="s">
        <v>11</v>
      </c>
      <c r="L9" s="5">
        <v>289500</v>
      </c>
    </row>
    <row r="10" spans="1:12" x14ac:dyDescent="0.3">
      <c r="B10" s="4" t="s">
        <v>16</v>
      </c>
      <c r="C10" s="5" t="s">
        <v>6</v>
      </c>
      <c r="D10" s="5">
        <v>34000</v>
      </c>
      <c r="E10" s="5">
        <v>7</v>
      </c>
      <c r="F10" s="6" t="s">
        <v>7</v>
      </c>
      <c r="K10" s="5" t="s">
        <v>73</v>
      </c>
      <c r="L10" s="5">
        <v>1447500</v>
      </c>
    </row>
    <row r="11" spans="1:12" ht="15.6" x14ac:dyDescent="0.3">
      <c r="B11" s="4" t="s">
        <v>17</v>
      </c>
      <c r="C11" s="5" t="s">
        <v>9</v>
      </c>
      <c r="D11" s="5">
        <v>35500</v>
      </c>
      <c r="E11" s="5">
        <v>8</v>
      </c>
      <c r="F11" s="6" t="s">
        <v>18</v>
      </c>
      <c r="H11" s="24" t="s">
        <v>65</v>
      </c>
      <c r="I11" s="24"/>
    </row>
    <row r="12" spans="1:12" x14ac:dyDescent="0.3">
      <c r="B12" s="4" t="s">
        <v>19</v>
      </c>
      <c r="C12" s="5" t="s">
        <v>11</v>
      </c>
      <c r="D12" s="5">
        <v>37000</v>
      </c>
      <c r="E12" s="5">
        <v>9</v>
      </c>
      <c r="F12" s="6" t="s">
        <v>7</v>
      </c>
      <c r="H12" s="11" t="s">
        <v>47</v>
      </c>
      <c r="I12" s="15" t="str">
        <f>LEFT(C5,2)</f>
        <v>Fi</v>
      </c>
      <c r="K12" s="30" t="s">
        <v>72</v>
      </c>
      <c r="L12" s="5" t="s">
        <v>78</v>
      </c>
    </row>
    <row r="13" spans="1:12" x14ac:dyDescent="0.3">
      <c r="B13" s="4" t="s">
        <v>20</v>
      </c>
      <c r="C13" s="5" t="s">
        <v>13</v>
      </c>
      <c r="D13" s="5">
        <v>38500</v>
      </c>
      <c r="E13" s="5">
        <v>10</v>
      </c>
      <c r="F13" s="6" t="s">
        <v>7</v>
      </c>
      <c r="H13" s="14" t="s">
        <v>48</v>
      </c>
      <c r="I13" s="17" t="str">
        <f>RIGHT(C5,3)</f>
        <v>nce</v>
      </c>
      <c r="K13" s="5" t="s">
        <v>6</v>
      </c>
      <c r="L13" s="5">
        <v>27</v>
      </c>
    </row>
    <row r="14" spans="1:12" x14ac:dyDescent="0.3">
      <c r="B14" s="4" t="s">
        <v>21</v>
      </c>
      <c r="C14" s="5" t="s">
        <v>15</v>
      </c>
      <c r="D14" s="5">
        <v>40000</v>
      </c>
      <c r="E14" s="5">
        <v>1</v>
      </c>
      <c r="F14" s="6" t="s">
        <v>7</v>
      </c>
      <c r="H14" s="13" t="s">
        <v>49</v>
      </c>
      <c r="I14" s="17" t="str">
        <f>MID(C5,2,3)</f>
        <v>ina</v>
      </c>
      <c r="K14" s="5" t="s">
        <v>15</v>
      </c>
      <c r="L14" s="5">
        <v>21</v>
      </c>
    </row>
    <row r="15" spans="1:12" x14ac:dyDescent="0.3">
      <c r="B15" s="4" t="s">
        <v>22</v>
      </c>
      <c r="C15" s="5" t="s">
        <v>6</v>
      </c>
      <c r="D15" s="5">
        <v>41500</v>
      </c>
      <c r="E15" s="5">
        <v>2</v>
      </c>
      <c r="F15" s="6" t="s">
        <v>7</v>
      </c>
      <c r="H15" s="14" t="s">
        <v>50</v>
      </c>
      <c r="I15" s="18" t="str">
        <f>_xlfn.CONCAT(B5:C5)</f>
        <v>E001Finance</v>
      </c>
      <c r="K15" s="5" t="s">
        <v>13</v>
      </c>
      <c r="L15" s="5">
        <v>45</v>
      </c>
    </row>
    <row r="16" spans="1:12" x14ac:dyDescent="0.3">
      <c r="B16" s="4" t="s">
        <v>23</v>
      </c>
      <c r="C16" s="5" t="s">
        <v>9</v>
      </c>
      <c r="D16" s="5">
        <v>43000</v>
      </c>
      <c r="E16" s="5">
        <v>3</v>
      </c>
      <c r="F16" s="6" t="s">
        <v>7</v>
      </c>
      <c r="K16" s="5" t="s">
        <v>9</v>
      </c>
      <c r="L16" s="5">
        <v>33</v>
      </c>
    </row>
    <row r="17" spans="2:12" ht="15.6" x14ac:dyDescent="0.3">
      <c r="B17" s="4" t="s">
        <v>24</v>
      </c>
      <c r="C17" s="5" t="s">
        <v>11</v>
      </c>
      <c r="D17" s="5">
        <v>44500</v>
      </c>
      <c r="E17" s="5">
        <v>4</v>
      </c>
      <c r="F17" s="6" t="s">
        <v>7</v>
      </c>
      <c r="H17" s="24" t="s">
        <v>66</v>
      </c>
      <c r="I17" s="24"/>
      <c r="K17" s="5" t="s">
        <v>11</v>
      </c>
      <c r="L17" s="5">
        <v>39</v>
      </c>
    </row>
    <row r="18" spans="2:12" x14ac:dyDescent="0.3">
      <c r="B18" s="4" t="s">
        <v>25</v>
      </c>
      <c r="C18" s="5" t="s">
        <v>13</v>
      </c>
      <c r="D18" s="5">
        <v>46000</v>
      </c>
      <c r="E18" s="5">
        <v>5</v>
      </c>
      <c r="F18" s="6" t="s">
        <v>18</v>
      </c>
      <c r="H18" s="20" t="s">
        <v>51</v>
      </c>
      <c r="I18" s="15">
        <f>AVERAGE(Table1[Salary])</f>
        <v>48250</v>
      </c>
      <c r="K18" s="5" t="s">
        <v>73</v>
      </c>
      <c r="L18" s="5">
        <v>165</v>
      </c>
    </row>
    <row r="19" spans="2:12" x14ac:dyDescent="0.3">
      <c r="B19" s="4" t="s">
        <v>26</v>
      </c>
      <c r="C19" s="5" t="s">
        <v>15</v>
      </c>
      <c r="D19" s="5">
        <v>47500</v>
      </c>
      <c r="E19" s="5">
        <v>6</v>
      </c>
      <c r="F19" s="6" t="s">
        <v>7</v>
      </c>
      <c r="H19" s="21" t="s">
        <v>52</v>
      </c>
      <c r="I19" s="17"/>
    </row>
    <row r="20" spans="2:12" x14ac:dyDescent="0.3">
      <c r="B20" s="4" t="s">
        <v>27</v>
      </c>
      <c r="C20" s="5" t="s">
        <v>6</v>
      </c>
      <c r="D20" s="5">
        <v>49000</v>
      </c>
      <c r="E20" s="5">
        <v>7</v>
      </c>
      <c r="F20" s="6" t="s">
        <v>7</v>
      </c>
      <c r="H20" s="22" t="s">
        <v>53</v>
      </c>
      <c r="I20" s="17">
        <f>MEDIAN(Table1[Salary])</f>
        <v>48250</v>
      </c>
    </row>
    <row r="21" spans="2:12" x14ac:dyDescent="0.3">
      <c r="B21" s="4" t="s">
        <v>28</v>
      </c>
      <c r="C21" s="5" t="s">
        <v>9</v>
      </c>
      <c r="D21" s="5">
        <v>50500</v>
      </c>
      <c r="E21" s="5">
        <v>8</v>
      </c>
      <c r="F21" s="6" t="s">
        <v>7</v>
      </c>
      <c r="H21" s="21" t="s">
        <v>54</v>
      </c>
      <c r="I21" s="17">
        <f>_xlfn.STDEV.P(Table1[Salary])</f>
        <v>12983.162172598784</v>
      </c>
    </row>
    <row r="22" spans="2:12" x14ac:dyDescent="0.3">
      <c r="B22" s="4" t="s">
        <v>29</v>
      </c>
      <c r="C22" s="5" t="s">
        <v>11</v>
      </c>
      <c r="D22" s="5">
        <v>52000</v>
      </c>
      <c r="E22" s="5">
        <v>9</v>
      </c>
      <c r="F22" s="6" t="s">
        <v>7</v>
      </c>
      <c r="H22" s="22" t="s">
        <v>55</v>
      </c>
      <c r="I22" s="18">
        <v>2</v>
      </c>
    </row>
    <row r="23" spans="2:12" x14ac:dyDescent="0.3">
      <c r="B23" s="4" t="s">
        <v>30</v>
      </c>
      <c r="C23" s="5" t="s">
        <v>13</v>
      </c>
      <c r="D23" s="5">
        <v>53500</v>
      </c>
      <c r="E23" s="5">
        <v>10</v>
      </c>
      <c r="F23" s="6" t="s">
        <v>7</v>
      </c>
    </row>
    <row r="24" spans="2:12" ht="15.6" x14ac:dyDescent="0.3">
      <c r="B24" s="4" t="s">
        <v>31</v>
      </c>
      <c r="C24" s="5" t="s">
        <v>15</v>
      </c>
      <c r="D24" s="5">
        <v>55000</v>
      </c>
      <c r="E24" s="5">
        <v>1</v>
      </c>
      <c r="F24" s="6" t="s">
        <v>7</v>
      </c>
      <c r="H24" s="24" t="s">
        <v>67</v>
      </c>
      <c r="I24" s="24"/>
    </row>
    <row r="25" spans="2:12" x14ac:dyDescent="0.3">
      <c r="B25" s="4" t="s">
        <v>32</v>
      </c>
      <c r="C25" s="5" t="s">
        <v>6</v>
      </c>
      <c r="D25" s="5">
        <v>56500</v>
      </c>
      <c r="E25" s="5">
        <v>2</v>
      </c>
      <c r="F25" s="6" t="s">
        <v>18</v>
      </c>
      <c r="H25" s="11" t="s">
        <v>56</v>
      </c>
      <c r="I25" s="15" t="str">
        <f>VLOOKUP(B5,B5:F34,5,FALSE)</f>
        <v>No</v>
      </c>
    </row>
    <row r="26" spans="2:12" x14ac:dyDescent="0.3">
      <c r="B26" s="4" t="s">
        <v>33</v>
      </c>
      <c r="C26" s="5" t="s">
        <v>9</v>
      </c>
      <c r="D26" s="5">
        <v>58000</v>
      </c>
      <c r="E26" s="5">
        <v>3</v>
      </c>
      <c r="F26" s="6" t="s">
        <v>7</v>
      </c>
      <c r="H26" s="14" t="s">
        <v>57</v>
      </c>
      <c r="I26" s="17" t="str">
        <f>HLOOKUP(B5,B5:F35,3,FALSE)</f>
        <v>E003</v>
      </c>
    </row>
    <row r="27" spans="2:12" x14ac:dyDescent="0.3">
      <c r="B27" s="4" t="s">
        <v>34</v>
      </c>
      <c r="C27" s="5" t="s">
        <v>11</v>
      </c>
      <c r="D27" s="5">
        <v>59500</v>
      </c>
      <c r="E27" s="5">
        <v>4</v>
      </c>
      <c r="F27" s="6" t="s">
        <v>7</v>
      </c>
      <c r="H27" s="13" t="s">
        <v>58</v>
      </c>
      <c r="I27" s="18" t="str">
        <f>VLOOKUP(B7,B7:F36,5,FALSE)</f>
        <v>No</v>
      </c>
    </row>
    <row r="28" spans="2:12" x14ac:dyDescent="0.3">
      <c r="B28" s="4" t="s">
        <v>35</v>
      </c>
      <c r="C28" s="5" t="s">
        <v>13</v>
      </c>
      <c r="D28" s="5">
        <v>61000</v>
      </c>
      <c r="E28" s="5">
        <v>5</v>
      </c>
      <c r="F28" s="6" t="s">
        <v>7</v>
      </c>
    </row>
    <row r="29" spans="2:12" ht="15.6" x14ac:dyDescent="0.3">
      <c r="B29" s="4" t="s">
        <v>36</v>
      </c>
      <c r="C29" s="5" t="s">
        <v>15</v>
      </c>
      <c r="D29" s="5">
        <v>62500</v>
      </c>
      <c r="E29" s="5">
        <v>6</v>
      </c>
      <c r="F29" s="6" t="s">
        <v>7</v>
      </c>
      <c r="H29" s="24" t="s">
        <v>68</v>
      </c>
      <c r="I29" s="24"/>
    </row>
    <row r="30" spans="2:12" x14ac:dyDescent="0.3">
      <c r="B30" s="4" t="s">
        <v>37</v>
      </c>
      <c r="C30" s="5" t="s">
        <v>6</v>
      </c>
      <c r="D30" s="5">
        <v>64000</v>
      </c>
      <c r="E30" s="5">
        <v>7</v>
      </c>
      <c r="F30" s="6" t="s">
        <v>7</v>
      </c>
      <c r="H30" s="13" t="s">
        <v>62</v>
      </c>
      <c r="I30" s="15" t="str">
        <f>IF(B5&gt;26000,"MINIMUM")</f>
        <v>MINIMUM</v>
      </c>
    </row>
    <row r="31" spans="2:12" x14ac:dyDescent="0.3">
      <c r="B31" s="4" t="s">
        <v>38</v>
      </c>
      <c r="C31" s="5" t="s">
        <v>9</v>
      </c>
      <c r="D31" s="5">
        <v>65500</v>
      </c>
      <c r="E31" s="5">
        <v>8</v>
      </c>
      <c r="F31" s="6" t="s">
        <v>7</v>
      </c>
      <c r="H31" s="14" t="s">
        <v>64</v>
      </c>
      <c r="I31" s="16" t="b">
        <f>OR(B5&gt;26000,"TURE")</f>
        <v>1</v>
      </c>
    </row>
    <row r="32" spans="2:12" x14ac:dyDescent="0.3">
      <c r="B32" s="4" t="s">
        <v>39</v>
      </c>
      <c r="C32" s="5" t="s">
        <v>11</v>
      </c>
      <c r="D32" s="5">
        <v>67000</v>
      </c>
      <c r="E32" s="5">
        <v>9</v>
      </c>
      <c r="F32" s="6" t="s">
        <v>18</v>
      </c>
      <c r="H32" s="13" t="s">
        <v>63</v>
      </c>
      <c r="I32" s="10" t="b">
        <f>AND(D5&gt;70000,"TURE")</f>
        <v>0</v>
      </c>
    </row>
    <row r="33" spans="2:9" x14ac:dyDescent="0.3">
      <c r="B33" s="4" t="s">
        <v>40</v>
      </c>
      <c r="C33" s="5" t="s">
        <v>13</v>
      </c>
      <c r="D33" s="5">
        <v>68500</v>
      </c>
      <c r="E33" s="5">
        <v>10</v>
      </c>
      <c r="F33" s="6" t="s">
        <v>7</v>
      </c>
    </row>
    <row r="34" spans="2:9" ht="15.6" x14ac:dyDescent="0.3">
      <c r="B34" s="7" t="s">
        <v>41</v>
      </c>
      <c r="C34" s="8" t="s">
        <v>15</v>
      </c>
      <c r="D34" s="8">
        <v>70000</v>
      </c>
      <c r="E34" s="8">
        <v>1</v>
      </c>
      <c r="F34" s="9" t="s">
        <v>7</v>
      </c>
      <c r="H34" s="24" t="s">
        <v>69</v>
      </c>
      <c r="I34" s="24"/>
    </row>
    <row r="35" spans="2:9" x14ac:dyDescent="0.3">
      <c r="H35" s="11" t="s">
        <v>59</v>
      </c>
      <c r="I35" s="19">
        <f ca="1">TODAY()</f>
        <v>46072</v>
      </c>
    </row>
    <row r="36" spans="2:9" x14ac:dyDescent="0.3">
      <c r="H36" s="12" t="s">
        <v>60</v>
      </c>
      <c r="I36" s="23">
        <f ca="1">NOW()</f>
        <v>46072.94590648148</v>
      </c>
    </row>
    <row r="37" spans="2:9" x14ac:dyDescent="0.3">
      <c r="H37" s="11" t="s">
        <v>61</v>
      </c>
      <c r="I37" s="10">
        <f ca="1">DAY(I35)</f>
        <v>19</v>
      </c>
    </row>
    <row r="39" spans="2:9" ht="15.6" x14ac:dyDescent="0.3">
      <c r="H39" s="26" t="s">
        <v>76</v>
      </c>
      <c r="I39" s="24"/>
    </row>
    <row r="40" spans="2:9" x14ac:dyDescent="0.3">
      <c r="H40" s="4" t="s">
        <v>74</v>
      </c>
      <c r="I40" s="33">
        <f>PMT(5%/12, 60, D17)</f>
        <v>-839.76989715848663</v>
      </c>
    </row>
    <row r="41" spans="2:9" x14ac:dyDescent="0.3">
      <c r="H41" s="7" t="s">
        <v>75</v>
      </c>
      <c r="I41" s="34">
        <f>NPV(5%,D5:D34)</f>
        <v>660303.77922860743</v>
      </c>
    </row>
    <row r="47" spans="2:9" x14ac:dyDescent="0.3">
      <c r="H47" s="27" t="s">
        <v>72</v>
      </c>
    </row>
    <row r="48" spans="2:9" x14ac:dyDescent="0.3">
      <c r="H48" s="28" t="s">
        <v>6</v>
      </c>
    </row>
    <row r="49" spans="8:8" x14ac:dyDescent="0.3">
      <c r="H49" s="29" t="s">
        <v>7</v>
      </c>
    </row>
    <row r="50" spans="8:8" x14ac:dyDescent="0.3">
      <c r="H50" s="29" t="s">
        <v>18</v>
      </c>
    </row>
    <row r="51" spans="8:8" x14ac:dyDescent="0.3">
      <c r="H51" s="28" t="s">
        <v>15</v>
      </c>
    </row>
    <row r="52" spans="8:8" x14ac:dyDescent="0.3">
      <c r="H52" s="29" t="s">
        <v>7</v>
      </c>
    </row>
    <row r="53" spans="8:8" x14ac:dyDescent="0.3">
      <c r="H53" s="28" t="s">
        <v>13</v>
      </c>
    </row>
    <row r="54" spans="8:8" x14ac:dyDescent="0.3">
      <c r="H54" s="29" t="s">
        <v>7</v>
      </c>
    </row>
    <row r="55" spans="8:8" x14ac:dyDescent="0.3">
      <c r="H55" s="29" t="s">
        <v>18</v>
      </c>
    </row>
    <row r="56" spans="8:8" x14ac:dyDescent="0.3">
      <c r="H56" s="28" t="s">
        <v>9</v>
      </c>
    </row>
    <row r="57" spans="8:8" x14ac:dyDescent="0.3">
      <c r="H57" s="29" t="s">
        <v>7</v>
      </c>
    </row>
    <row r="58" spans="8:8" x14ac:dyDescent="0.3">
      <c r="H58" s="29" t="s">
        <v>18</v>
      </c>
    </row>
    <row r="59" spans="8:8" x14ac:dyDescent="0.3">
      <c r="H59" s="28" t="s">
        <v>11</v>
      </c>
    </row>
    <row r="60" spans="8:8" x14ac:dyDescent="0.3">
      <c r="H60" s="29" t="s">
        <v>7</v>
      </c>
    </row>
    <row r="61" spans="8:8" x14ac:dyDescent="0.3">
      <c r="H61" s="29" t="s">
        <v>18</v>
      </c>
    </row>
    <row r="62" spans="8:8" x14ac:dyDescent="0.3">
      <c r="H62" s="28" t="s">
        <v>73</v>
      </c>
    </row>
  </sheetData>
  <pageMargins left="0.75" right="0.75" top="1" bottom="1" header="0.5" footer="0.5"/>
  <pageSetup orientation="portrait" r:id="rId4"/>
  <drawing r:id="rId5"/>
  <tableParts count="8">
    <tablePart r:id="rId6"/>
    <tablePart r:id="rId7"/>
    <tablePart r:id="rId8"/>
    <tablePart r:id="rId9"/>
    <tablePart r:id="rId10"/>
    <tablePart r:id="rId11"/>
    <tablePart r:id="rId12"/>
    <tablePart r:id="rId13"/>
  </tableParts>
  <extLst>
    <ext xmlns:x15="http://schemas.microsoft.com/office/spreadsheetml/2010/11/main" uri="{3A4CF648-6AED-40f4-86FF-DC5316D8AED3}">
      <x14:slicerList xmlns:x14="http://schemas.microsoft.com/office/spreadsheetml/2009/9/main">
        <x14:slicer r:id="rId1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adya yawalikar</cp:lastModifiedBy>
  <dcterms:created xsi:type="dcterms:W3CDTF">2026-02-16T11:22:39Z</dcterms:created>
  <dcterms:modified xsi:type="dcterms:W3CDTF">2026-02-19T17:12:26Z</dcterms:modified>
</cp:coreProperties>
</file>