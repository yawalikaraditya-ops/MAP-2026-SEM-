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8_{3875E882-648F-48E9-B9DF-BB91C758FD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C30" i="1"/>
  <c r="C29" i="1"/>
  <c r="C27" i="1"/>
  <c r="H20" i="1"/>
  <c r="I20" i="1" s="1"/>
  <c r="F20" i="1"/>
  <c r="J20" i="1" s="1"/>
  <c r="H19" i="1"/>
  <c r="I19" i="1" s="1"/>
  <c r="F19" i="1"/>
  <c r="J19" i="1" s="1"/>
  <c r="H18" i="1"/>
  <c r="I18" i="1" s="1"/>
  <c r="F18" i="1"/>
  <c r="G18" i="1" s="1"/>
  <c r="H17" i="1"/>
  <c r="I17" i="1" s="1"/>
  <c r="F17" i="1"/>
  <c r="G17" i="1" s="1"/>
  <c r="H16" i="1"/>
  <c r="I16" i="1" s="1"/>
  <c r="F16" i="1"/>
  <c r="J16" i="1" s="1"/>
  <c r="H15" i="1"/>
  <c r="I15" i="1" s="1"/>
  <c r="F15" i="1"/>
  <c r="G15" i="1" s="1"/>
  <c r="H14" i="1"/>
  <c r="I14" i="1" s="1"/>
  <c r="F14" i="1"/>
  <c r="J14" i="1" s="1"/>
  <c r="H13" i="1"/>
  <c r="I13" i="1" s="1"/>
  <c r="F13" i="1"/>
  <c r="G13" i="1" s="1"/>
  <c r="H12" i="1"/>
  <c r="I12" i="1" s="1"/>
  <c r="F12" i="1"/>
  <c r="J12" i="1" s="1"/>
  <c r="H11" i="1"/>
  <c r="I11" i="1" s="1"/>
  <c r="F11" i="1"/>
  <c r="J11" i="1" s="1"/>
  <c r="H10" i="1"/>
  <c r="I10" i="1" s="1"/>
  <c r="F10" i="1"/>
  <c r="G10" i="1" s="1"/>
  <c r="H9" i="1"/>
  <c r="I9" i="1" s="1"/>
  <c r="F9" i="1"/>
  <c r="J9" i="1" s="1"/>
  <c r="H8" i="1"/>
  <c r="I8" i="1" s="1"/>
  <c r="F8" i="1"/>
  <c r="J8" i="1" s="1"/>
  <c r="H7" i="1"/>
  <c r="I7" i="1" s="1"/>
  <c r="F7" i="1"/>
  <c r="G7" i="1" s="1"/>
  <c r="H6" i="1"/>
  <c r="I6" i="1" s="1"/>
  <c r="F6" i="1"/>
  <c r="J6" i="1" s="1"/>
  <c r="J17" i="1" l="1"/>
  <c r="G8" i="1"/>
  <c r="J15" i="1"/>
  <c r="J10" i="1"/>
  <c r="G16" i="1"/>
  <c r="J18" i="1"/>
  <c r="G9" i="1"/>
  <c r="J7" i="1"/>
  <c r="G12" i="1"/>
  <c r="J13" i="1"/>
  <c r="G20" i="1"/>
  <c r="G6" i="1"/>
  <c r="G14" i="1"/>
  <c r="G11" i="1"/>
  <c r="G19" i="1"/>
  <c r="E28" i="1"/>
  <c r="D27" i="1"/>
  <c r="D29" i="1"/>
  <c r="D30" i="1"/>
  <c r="E29" i="1"/>
  <c r="D28" i="1"/>
  <c r="E30" i="1"/>
  <c r="E27" i="1"/>
</calcChain>
</file>

<file path=xl/sharedStrings.xml><?xml version="1.0" encoding="utf-8"?>
<sst xmlns="http://schemas.openxmlformats.org/spreadsheetml/2006/main" count="53" uniqueCount="25">
  <si>
    <t>Month</t>
  </si>
  <si>
    <t>Department</t>
  </si>
  <si>
    <t>Budgeted Expense</t>
  </si>
  <si>
    <t>Actual Expense</t>
  </si>
  <si>
    <t>Revenue Generated</t>
  </si>
  <si>
    <t>Expense Variance</t>
  </si>
  <si>
    <t>Variance %</t>
  </si>
  <si>
    <t>Profit</t>
  </si>
  <si>
    <t>Profit Margin %</t>
  </si>
  <si>
    <t>Variance Type</t>
  </si>
  <si>
    <t>Oct</t>
  </si>
  <si>
    <t>Sales</t>
  </si>
  <si>
    <t>Marketing</t>
  </si>
  <si>
    <t>HR</t>
  </si>
  <si>
    <t>IT</t>
  </si>
  <si>
    <t>Nov</t>
  </si>
  <si>
    <t>Dec</t>
  </si>
  <si>
    <t>Total Budget</t>
  </si>
  <si>
    <t>Total Actual</t>
  </si>
  <si>
    <t>Total Revenue</t>
  </si>
  <si>
    <t xml:space="preserve">                                             </t>
  </si>
  <si>
    <t xml:space="preserve">Visualization </t>
  </si>
  <si>
    <t>Finance Performance &amp; Budget Analysis</t>
  </si>
  <si>
    <r>
      <rPr>
        <b/>
        <sz val="14"/>
        <color theme="1"/>
        <rFont val="Castellar"/>
        <family val="1"/>
      </rPr>
      <t xml:space="preserve">    Quarterly Budget VS Actual Budget</t>
    </r>
    <r>
      <rPr>
        <b/>
        <sz val="18"/>
        <color theme="1"/>
        <rFont val="Calibri"/>
        <family val="2"/>
        <scheme val="minor"/>
      </rPr>
      <t xml:space="preserve"> </t>
    </r>
  </si>
  <si>
    <r>
      <t xml:space="preserve">               </t>
    </r>
    <r>
      <rPr>
        <sz val="16"/>
        <color theme="9" tint="-0.499984740745262"/>
        <rFont val="Bahnschrift SemiBold"/>
        <family val="2"/>
      </rPr>
      <t xml:space="preserve">               Department 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</si>
</sst>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libri"/>
      <scheme val="minor"/>
    </font>
    <font>
      <b/>
      <sz val="11"/>
      <name val="Calibri"/>
    </font>
    <font>
      <sz val="11"/>
      <name val="Calibri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22"/>
      <name val="Cambria"/>
      <family val="1"/>
    </font>
    <font>
      <b/>
      <sz val="18"/>
      <color theme="1"/>
      <name val="Calibri"/>
      <family val="1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stellar"/>
      <family val="1"/>
    </font>
    <font>
      <sz val="11"/>
      <color theme="9" tint="-0.499984740745262"/>
      <name val="Calibri"/>
      <family val="2"/>
      <scheme val="minor"/>
    </font>
    <font>
      <sz val="16"/>
      <color theme="9" tint="-0.499984740745262"/>
      <name val="Bahnschrift SemiBold"/>
      <family val="2"/>
    </font>
    <font>
      <b/>
      <sz val="11"/>
      <color theme="9" tint="-0.499984740745262"/>
      <name val="Calibri"/>
      <family val="2"/>
    </font>
    <font>
      <sz val="11"/>
      <color theme="9" tint="-0.249977111117893"/>
      <name val="Calibri"/>
      <family val="2"/>
      <scheme val="minor"/>
    </font>
    <font>
      <b/>
      <sz val="24"/>
      <name val="Baskerville Old Face"/>
      <family val="1"/>
    </font>
    <font>
      <b/>
      <sz val="20"/>
      <color theme="9" tint="-0.499984740745262"/>
      <name val="Bahnschrift SemiCondensed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0" fontId="2" fillId="0" borderId="8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0" fillId="2" borderId="0" xfId="0" applyFill="1"/>
    <xf numFmtId="0" fontId="5" fillId="2" borderId="0" xfId="0" applyFont="1" applyFill="1"/>
    <xf numFmtId="0" fontId="6" fillId="2" borderId="0" xfId="0" applyFont="1" applyFill="1"/>
    <xf numFmtId="0" fontId="9" fillId="3" borderId="0" xfId="0" applyFont="1" applyFill="1"/>
    <xf numFmtId="0" fontId="12" fillId="3" borderId="0" xfId="0" applyFont="1" applyFill="1"/>
    <xf numFmtId="0" fontId="9" fillId="3" borderId="0" xfId="0" applyFont="1" applyFill="1" applyAlignment="1">
      <alignment vertical="top"/>
    </xf>
    <xf numFmtId="0" fontId="13" fillId="3" borderId="0" xfId="0" applyFont="1" applyFill="1"/>
    <xf numFmtId="0" fontId="14" fillId="3" borderId="0" xfId="0" applyFont="1" applyFill="1"/>
    <xf numFmtId="0" fontId="11" fillId="3" borderId="0" xfId="0" applyFont="1" applyFill="1"/>
  </cellXfs>
  <cellStyles count="1">
    <cellStyle name="Normal" xfId="0" builtinId="0"/>
  </cellStyles>
  <dxfs count="19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4" formatCode="0.00%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360000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4588-4B42-9765-2EE5DFCF1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653632"/>
        <c:axId val="1935652800"/>
        <c:axId val="1931770128"/>
      </c:line3DChart>
      <c:catAx>
        <c:axId val="1935653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52800"/>
        <c:crosses val="autoZero"/>
        <c:auto val="1"/>
        <c:lblAlgn val="ctr"/>
        <c:lblOffset val="100"/>
        <c:noMultiLvlLbl val="0"/>
      </c:catAx>
      <c:valAx>
        <c:axId val="193565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53632"/>
        <c:crosses val="autoZero"/>
        <c:crossBetween val="between"/>
      </c:valAx>
      <c:serAx>
        <c:axId val="19317701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565280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v>Sum of Actual Expense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524000</c:v>
              </c:pt>
            </c:numLit>
          </c:val>
          <c:extLst>
            <c:ext xmlns:c16="http://schemas.microsoft.com/office/drawing/2014/chart" uri="{C3380CC4-5D6E-409C-BE32-E72D297353CC}">
              <c16:uniqueId val="{00000000-EA85-41C6-BAAF-FB18DC927EC8}"/>
            </c:ext>
          </c:extLst>
        </c:ser>
        <c:ser>
          <c:idx val="1"/>
          <c:order val="1"/>
          <c:tx>
            <c:v>Sum of Budgeted Expense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522000</c:v>
              </c:pt>
            </c:numLit>
          </c:val>
          <c:extLst>
            <c:ext xmlns:c16="http://schemas.microsoft.com/office/drawing/2014/chart" uri="{C3380CC4-5D6E-409C-BE32-E72D297353CC}">
              <c16:uniqueId val="{00000001-EA85-41C6-BAAF-FB18DC92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82329872"/>
        <c:axId val="1782329456"/>
        <c:axId val="1782401088"/>
      </c:bar3DChart>
      <c:catAx>
        <c:axId val="1782329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329456"/>
        <c:crosses val="autoZero"/>
        <c:auto val="1"/>
        <c:lblAlgn val="ctr"/>
        <c:lblOffset val="100"/>
        <c:noMultiLvlLbl val="0"/>
      </c:catAx>
      <c:valAx>
        <c:axId val="178232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329872"/>
        <c:crosses val="autoZero"/>
        <c:crossBetween val="between"/>
      </c:valAx>
      <c:serAx>
        <c:axId val="1782401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232945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385187</xdr:colOff>
      <xdr:row>24</xdr:row>
      <xdr:rowOff>75362</xdr:rowOff>
    </xdr:from>
    <xdr:to>
      <xdr:col>10</xdr:col>
      <xdr:colOff>25121</xdr:colOff>
      <xdr:row>39</xdr:row>
      <xdr:rowOff>125604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83A0E3-35CB-4660-B5EE-5F028D3BE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217714</xdr:colOff>
      <xdr:row>31</xdr:row>
      <xdr:rowOff>16748</xdr:rowOff>
    </xdr:from>
    <xdr:to>
      <xdr:col>5</xdr:col>
      <xdr:colOff>117231</xdr:colOff>
      <xdr:row>46</xdr:row>
      <xdr:rowOff>184220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1D4334-688D-4EDA-AD47-A952E90C3F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D2154-4EDC-4582-9D71-11B34440563D}" name="Table1" displayName="Table1" ref="A5:J20" totalsRowShown="0" headerRowDxfId="18" dataDxfId="16" headerRowBorderDxfId="17" tableBorderDxfId="15" totalsRowBorderDxfId="14">
  <autoFilter ref="A5:J20" xr:uid="{14ED2154-4EDC-4582-9D71-11B34440563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3B2E88B-DD24-4345-89FA-D2555CA731E7}" name="Month" dataDxfId="13"/>
    <tableColumn id="2" xr3:uid="{40A18D5B-648B-4F45-BC6A-0D961310A2A5}" name="Department" dataDxfId="12"/>
    <tableColumn id="3" xr3:uid="{E3D1903F-216F-4674-B4C1-E1EA7A148BC8}" name="Budgeted Expense" dataDxfId="11"/>
    <tableColumn id="4" xr3:uid="{D3F075DE-88F2-4493-AE66-4A0F972822B9}" name="Actual Expense" dataDxfId="10"/>
    <tableColumn id="5" xr3:uid="{46C28422-DB67-47CE-BB08-0E55857C6EDD}" name="Revenue Generated" dataDxfId="9"/>
    <tableColumn id="6" xr3:uid="{32C63291-80F6-4F47-ABAD-3C37A990D75E}" name="Expense Variance" dataDxfId="8">
      <calculatedColumnFormula>D6-C6</calculatedColumnFormula>
    </tableColumn>
    <tableColumn id="7" xr3:uid="{FFD8DE05-B578-4F6B-8EBA-9B165369CCA4}" name="Variance %" dataDxfId="7">
      <calculatedColumnFormula>F6/C6</calculatedColumnFormula>
    </tableColumn>
    <tableColumn id="8" xr3:uid="{DF52E502-0429-4426-82A1-452CB5E89681}" name="Profit" dataDxfId="6">
      <calculatedColumnFormula>E6-D6</calculatedColumnFormula>
    </tableColumn>
    <tableColumn id="9" xr3:uid="{5997257D-BD0E-42A3-B1F9-278F3A6DA16A}" name="Profit Margin %" dataDxfId="5">
      <calculatedColumnFormula>H6/E6</calculatedColumnFormula>
    </tableColumn>
    <tableColumn id="10" xr3:uid="{E9AE880F-13AC-4E87-9B24-58A0E1988BCD}" name="Variance Type" dataDxfId="4">
      <calculatedColumnFormula>IF(F6&gt;0,"Unfavorable","Favorable")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F57982-7F3B-4E76-8770-05B54897EF36}" name="Table2" displayName="Table2" ref="B26:E30" totalsRowShown="0" dataDxfId="3">
  <autoFilter ref="B26:E30" xr:uid="{60F57982-7F3B-4E76-8770-05B54897EF36}">
    <filterColumn colId="0" hiddenButton="1"/>
    <filterColumn colId="1" hiddenButton="1"/>
    <filterColumn colId="2" hiddenButton="1"/>
    <filterColumn colId="3" hiddenButton="1"/>
  </autoFilter>
  <tableColumns count="4">
    <tableColumn id="1" xr3:uid="{3517C965-887E-4EBD-8433-9A7D6A446556}" name="Department"/>
    <tableColumn id="2" xr3:uid="{8912D20C-320B-49A0-9574-6F39B51C78F4}" name="Total Budget" dataDxfId="2"/>
    <tableColumn id="3" xr3:uid="{5F8171E9-1758-4A78-A69B-F987B293E0FE}" name="Total Actual" dataDxfId="1"/>
    <tableColumn id="4" xr3:uid="{B8F9993C-1D72-46B3-BE92-734EA68DC301}" name="Total Revenue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showGridLines="0" tabSelected="1" topLeftCell="A26" zoomScale="91" workbookViewId="0">
      <selection activeCell="F28" sqref="F28"/>
    </sheetView>
  </sheetViews>
  <sheetFormatPr defaultColWidth="14.44140625" defaultRowHeight="15" customHeight="1"/>
  <cols>
    <col min="1" max="2" width="18" customWidth="1"/>
    <col min="3" max="3" width="18.33203125" customWidth="1"/>
    <col min="4" max="4" width="18" customWidth="1"/>
    <col min="5" max="5" width="19.44140625" customWidth="1"/>
    <col min="6" max="10" width="18" customWidth="1"/>
    <col min="11" max="11" width="8.6640625" customWidth="1"/>
  </cols>
  <sheetData>
    <row r="1" spans="1:10" ht="15" customHeight="1">
      <c r="A1" s="15"/>
      <c r="B1" s="15"/>
      <c r="C1" s="15"/>
      <c r="D1" s="15"/>
      <c r="E1" s="15"/>
      <c r="F1" s="15"/>
      <c r="G1" s="15"/>
      <c r="H1" s="15"/>
      <c r="I1" s="15"/>
      <c r="J1" s="15"/>
    </row>
    <row r="2" spans="1:10" ht="19.95" customHeight="1">
      <c r="A2" s="15"/>
      <c r="B2" s="15"/>
      <c r="C2" s="15"/>
      <c r="D2" s="16" t="s">
        <v>22</v>
      </c>
      <c r="E2" s="15"/>
      <c r="F2" s="15"/>
      <c r="G2" s="15"/>
      <c r="H2" s="15"/>
      <c r="I2" s="15"/>
      <c r="J2" s="15"/>
    </row>
    <row r="3" spans="1:10" ht="22.05" customHeight="1">
      <c r="A3" s="15"/>
      <c r="B3" s="15"/>
      <c r="C3" s="15"/>
      <c r="D3" s="17" t="s">
        <v>23</v>
      </c>
      <c r="E3" s="15"/>
      <c r="F3" s="15"/>
      <c r="G3" s="15"/>
      <c r="H3" s="15"/>
      <c r="I3" s="15"/>
      <c r="J3" s="15"/>
    </row>
    <row r="4" spans="1:10" ht="15" customHeight="1">
      <c r="A4" s="15"/>
      <c r="B4" s="15"/>
      <c r="C4" s="15"/>
      <c r="D4" s="15"/>
      <c r="E4" s="15"/>
      <c r="F4" s="15"/>
      <c r="G4" s="15"/>
      <c r="H4" s="15"/>
      <c r="I4" s="15"/>
      <c r="J4" s="15"/>
    </row>
    <row r="5" spans="1:10" ht="14.4">
      <c r="A5" s="1" t="s">
        <v>0</v>
      </c>
      <c r="B5" s="14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3" t="s">
        <v>9</v>
      </c>
    </row>
    <row r="6" spans="1:10" ht="14.4">
      <c r="A6" s="4" t="s">
        <v>10</v>
      </c>
      <c r="B6" s="5" t="s">
        <v>11</v>
      </c>
      <c r="C6" s="5">
        <v>50000</v>
      </c>
      <c r="D6" s="5">
        <v>52000</v>
      </c>
      <c r="E6" s="5">
        <v>90000</v>
      </c>
      <c r="F6" s="5">
        <f t="shared" ref="F6:F20" si="0">D6-C6</f>
        <v>2000</v>
      </c>
      <c r="G6" s="6">
        <f t="shared" ref="G6:G20" si="1">F6/C6</f>
        <v>0.04</v>
      </c>
      <c r="H6" s="5">
        <f t="shared" ref="H6:H20" si="2">E6-D6</f>
        <v>38000</v>
      </c>
      <c r="I6" s="6">
        <f t="shared" ref="I6:I20" si="3">H6/E6</f>
        <v>0.42222222222222222</v>
      </c>
      <c r="J6" s="7" t="str">
        <f t="shared" ref="J6:J20" si="4">IF(F6&gt;0,"Unfavorable","Favorable")</f>
        <v>Unfavorable</v>
      </c>
    </row>
    <row r="7" spans="1:10" ht="14.4">
      <c r="A7" s="4" t="s">
        <v>10</v>
      </c>
      <c r="B7" s="5" t="s">
        <v>12</v>
      </c>
      <c r="C7" s="5">
        <v>30000</v>
      </c>
      <c r="D7" s="5">
        <v>28000</v>
      </c>
      <c r="E7" s="5">
        <v>60000</v>
      </c>
      <c r="F7" s="5">
        <f t="shared" si="0"/>
        <v>-2000</v>
      </c>
      <c r="G7" s="6">
        <f t="shared" si="1"/>
        <v>-6.6666666666666666E-2</v>
      </c>
      <c r="H7" s="5">
        <f t="shared" si="2"/>
        <v>32000</v>
      </c>
      <c r="I7" s="6">
        <f t="shared" si="3"/>
        <v>0.53333333333333333</v>
      </c>
      <c r="J7" s="7" t="str">
        <f t="shared" si="4"/>
        <v>Favorable</v>
      </c>
    </row>
    <row r="8" spans="1:10" ht="14.4">
      <c r="A8" s="4" t="s">
        <v>10</v>
      </c>
      <c r="B8" s="5" t="s">
        <v>13</v>
      </c>
      <c r="C8" s="5">
        <v>20000</v>
      </c>
      <c r="D8" s="5">
        <v>21000</v>
      </c>
      <c r="E8" s="5">
        <v>25000</v>
      </c>
      <c r="F8" s="5">
        <f t="shared" si="0"/>
        <v>1000</v>
      </c>
      <c r="G8" s="6">
        <f t="shared" si="1"/>
        <v>0.05</v>
      </c>
      <c r="H8" s="5">
        <f t="shared" si="2"/>
        <v>4000</v>
      </c>
      <c r="I8" s="6">
        <f t="shared" si="3"/>
        <v>0.16</v>
      </c>
      <c r="J8" s="7" t="str">
        <f t="shared" si="4"/>
        <v>Unfavorable</v>
      </c>
    </row>
    <row r="9" spans="1:10" ht="14.4">
      <c r="A9" s="4" t="s">
        <v>10</v>
      </c>
      <c r="B9" s="5" t="s">
        <v>14</v>
      </c>
      <c r="C9" s="5">
        <v>25000</v>
      </c>
      <c r="D9" s="5">
        <v>24000</v>
      </c>
      <c r="E9" s="5">
        <v>40000</v>
      </c>
      <c r="F9" s="5">
        <f t="shared" si="0"/>
        <v>-1000</v>
      </c>
      <c r="G9" s="6">
        <f t="shared" si="1"/>
        <v>-0.04</v>
      </c>
      <c r="H9" s="5">
        <f t="shared" si="2"/>
        <v>16000</v>
      </c>
      <c r="I9" s="6">
        <f t="shared" si="3"/>
        <v>0.4</v>
      </c>
      <c r="J9" s="7" t="str">
        <f t="shared" si="4"/>
        <v>Favorable</v>
      </c>
    </row>
    <row r="10" spans="1:10" ht="14.4">
      <c r="A10" s="4" t="s">
        <v>15</v>
      </c>
      <c r="B10" s="5" t="s">
        <v>11</v>
      </c>
      <c r="C10" s="5">
        <v>55000</v>
      </c>
      <c r="D10" s="5">
        <v>53000</v>
      </c>
      <c r="E10" s="5">
        <v>95000</v>
      </c>
      <c r="F10" s="5">
        <f t="shared" si="0"/>
        <v>-2000</v>
      </c>
      <c r="G10" s="6">
        <f t="shared" si="1"/>
        <v>-3.6363636363636362E-2</v>
      </c>
      <c r="H10" s="5">
        <f t="shared" si="2"/>
        <v>42000</v>
      </c>
      <c r="I10" s="6">
        <f t="shared" si="3"/>
        <v>0.44210526315789472</v>
      </c>
      <c r="J10" s="7" t="str">
        <f t="shared" si="4"/>
        <v>Favorable</v>
      </c>
    </row>
    <row r="11" spans="1:10" ht="14.4">
      <c r="A11" s="4" t="s">
        <v>15</v>
      </c>
      <c r="B11" s="5" t="s">
        <v>12</v>
      </c>
      <c r="C11" s="5">
        <v>32000</v>
      </c>
      <c r="D11" s="5">
        <v>35000</v>
      </c>
      <c r="E11" s="5">
        <v>62000</v>
      </c>
      <c r="F11" s="5">
        <f t="shared" si="0"/>
        <v>3000</v>
      </c>
      <c r="G11" s="6">
        <f t="shared" si="1"/>
        <v>9.375E-2</v>
      </c>
      <c r="H11" s="5">
        <f t="shared" si="2"/>
        <v>27000</v>
      </c>
      <c r="I11" s="6">
        <f t="shared" si="3"/>
        <v>0.43548387096774194</v>
      </c>
      <c r="J11" s="7" t="str">
        <f t="shared" si="4"/>
        <v>Unfavorable</v>
      </c>
    </row>
    <row r="12" spans="1:10" ht="14.4">
      <c r="A12" s="4" t="s">
        <v>15</v>
      </c>
      <c r="B12" s="5" t="s">
        <v>13</v>
      </c>
      <c r="C12" s="5">
        <v>22000</v>
      </c>
      <c r="D12" s="5">
        <v>20000</v>
      </c>
      <c r="E12" s="5">
        <v>27000</v>
      </c>
      <c r="F12" s="5">
        <f t="shared" si="0"/>
        <v>-2000</v>
      </c>
      <c r="G12" s="6">
        <f t="shared" si="1"/>
        <v>-9.0909090909090912E-2</v>
      </c>
      <c r="H12" s="5">
        <f t="shared" si="2"/>
        <v>7000</v>
      </c>
      <c r="I12" s="6">
        <f t="shared" si="3"/>
        <v>0.25925925925925924</v>
      </c>
      <c r="J12" s="7" t="str">
        <f t="shared" si="4"/>
        <v>Favorable</v>
      </c>
    </row>
    <row r="13" spans="1:10" ht="14.4">
      <c r="A13" s="4" t="s">
        <v>15</v>
      </c>
      <c r="B13" s="5" t="s">
        <v>14</v>
      </c>
      <c r="C13" s="5">
        <v>26000</v>
      </c>
      <c r="D13" s="5">
        <v>27000</v>
      </c>
      <c r="E13" s="5">
        <v>42000</v>
      </c>
      <c r="F13" s="5">
        <f t="shared" si="0"/>
        <v>1000</v>
      </c>
      <c r="G13" s="6">
        <f t="shared" si="1"/>
        <v>3.8461538461538464E-2</v>
      </c>
      <c r="H13" s="5">
        <f t="shared" si="2"/>
        <v>15000</v>
      </c>
      <c r="I13" s="6">
        <f t="shared" si="3"/>
        <v>0.35714285714285715</v>
      </c>
      <c r="J13" s="7" t="str">
        <f t="shared" si="4"/>
        <v>Unfavorable</v>
      </c>
    </row>
    <row r="14" spans="1:10" ht="14.4">
      <c r="A14" s="4" t="s">
        <v>16</v>
      </c>
      <c r="B14" s="5" t="s">
        <v>11</v>
      </c>
      <c r="C14" s="5">
        <v>60000</v>
      </c>
      <c r="D14" s="5">
        <v>58000</v>
      </c>
      <c r="E14" s="5">
        <v>100000</v>
      </c>
      <c r="F14" s="5">
        <f t="shared" si="0"/>
        <v>-2000</v>
      </c>
      <c r="G14" s="6">
        <f t="shared" si="1"/>
        <v>-3.3333333333333333E-2</v>
      </c>
      <c r="H14" s="5">
        <f t="shared" si="2"/>
        <v>42000</v>
      </c>
      <c r="I14" s="6">
        <f t="shared" si="3"/>
        <v>0.42</v>
      </c>
      <c r="J14" s="7" t="str">
        <f t="shared" si="4"/>
        <v>Favorable</v>
      </c>
    </row>
    <row r="15" spans="1:10" ht="14.4">
      <c r="A15" s="4" t="s">
        <v>16</v>
      </c>
      <c r="B15" s="5" t="s">
        <v>12</v>
      </c>
      <c r="C15" s="5">
        <v>35000</v>
      </c>
      <c r="D15" s="5">
        <v>37000</v>
      </c>
      <c r="E15" s="5">
        <v>65000</v>
      </c>
      <c r="F15" s="5">
        <f t="shared" si="0"/>
        <v>2000</v>
      </c>
      <c r="G15" s="6">
        <f t="shared" si="1"/>
        <v>5.7142857142857141E-2</v>
      </c>
      <c r="H15" s="5">
        <f t="shared" si="2"/>
        <v>28000</v>
      </c>
      <c r="I15" s="6">
        <f t="shared" si="3"/>
        <v>0.43076923076923079</v>
      </c>
      <c r="J15" s="7" t="str">
        <f t="shared" si="4"/>
        <v>Unfavorable</v>
      </c>
    </row>
    <row r="16" spans="1:10" ht="14.4">
      <c r="A16" s="4" t="s">
        <v>16</v>
      </c>
      <c r="B16" s="5" t="s">
        <v>13</v>
      </c>
      <c r="C16" s="5">
        <v>23000</v>
      </c>
      <c r="D16" s="5">
        <v>24000</v>
      </c>
      <c r="E16" s="5">
        <v>28000</v>
      </c>
      <c r="F16" s="5">
        <f t="shared" si="0"/>
        <v>1000</v>
      </c>
      <c r="G16" s="6">
        <f t="shared" si="1"/>
        <v>4.3478260869565216E-2</v>
      </c>
      <c r="H16" s="5">
        <f t="shared" si="2"/>
        <v>4000</v>
      </c>
      <c r="I16" s="6">
        <f t="shared" si="3"/>
        <v>0.14285714285714285</v>
      </c>
      <c r="J16" s="7" t="str">
        <f t="shared" si="4"/>
        <v>Unfavorable</v>
      </c>
    </row>
    <row r="17" spans="1:10" ht="14.4">
      <c r="A17" s="4" t="s">
        <v>16</v>
      </c>
      <c r="B17" s="5" t="s">
        <v>14</v>
      </c>
      <c r="C17" s="5">
        <v>27000</v>
      </c>
      <c r="D17" s="5">
        <v>26000</v>
      </c>
      <c r="E17" s="5">
        <v>45000</v>
      </c>
      <c r="F17" s="5">
        <f t="shared" si="0"/>
        <v>-1000</v>
      </c>
      <c r="G17" s="6">
        <f t="shared" si="1"/>
        <v>-3.7037037037037035E-2</v>
      </c>
      <c r="H17" s="5">
        <f t="shared" si="2"/>
        <v>19000</v>
      </c>
      <c r="I17" s="6">
        <f t="shared" si="3"/>
        <v>0.42222222222222222</v>
      </c>
      <c r="J17" s="7" t="str">
        <f t="shared" si="4"/>
        <v>Favorable</v>
      </c>
    </row>
    <row r="18" spans="1:10" ht="14.4">
      <c r="A18" s="4" t="s">
        <v>16</v>
      </c>
      <c r="B18" s="5" t="s">
        <v>11</v>
      </c>
      <c r="C18" s="5">
        <v>62000</v>
      </c>
      <c r="D18" s="5">
        <v>64000</v>
      </c>
      <c r="E18" s="5">
        <v>105000</v>
      </c>
      <c r="F18" s="5">
        <f t="shared" si="0"/>
        <v>2000</v>
      </c>
      <c r="G18" s="6">
        <f t="shared" si="1"/>
        <v>3.2258064516129031E-2</v>
      </c>
      <c r="H18" s="5">
        <f t="shared" si="2"/>
        <v>41000</v>
      </c>
      <c r="I18" s="6">
        <f t="shared" si="3"/>
        <v>0.39047619047619048</v>
      </c>
      <c r="J18" s="7" t="str">
        <f t="shared" si="4"/>
        <v>Unfavorable</v>
      </c>
    </row>
    <row r="19" spans="1:10" ht="14.4">
      <c r="A19" s="4" t="s">
        <v>15</v>
      </c>
      <c r="B19" s="5" t="s">
        <v>12</v>
      </c>
      <c r="C19" s="5">
        <v>31000</v>
      </c>
      <c r="D19" s="5">
        <v>30000</v>
      </c>
      <c r="E19" s="5">
        <v>61000</v>
      </c>
      <c r="F19" s="5">
        <f t="shared" si="0"/>
        <v>-1000</v>
      </c>
      <c r="G19" s="6">
        <f t="shared" si="1"/>
        <v>-3.2258064516129031E-2</v>
      </c>
      <c r="H19" s="5">
        <f t="shared" si="2"/>
        <v>31000</v>
      </c>
      <c r="I19" s="6">
        <f t="shared" si="3"/>
        <v>0.50819672131147542</v>
      </c>
      <c r="J19" s="7" t="str">
        <f t="shared" si="4"/>
        <v>Favorable</v>
      </c>
    </row>
    <row r="20" spans="1:10" ht="14.4">
      <c r="A20" s="8" t="s">
        <v>10</v>
      </c>
      <c r="B20" s="9" t="s">
        <v>14</v>
      </c>
      <c r="C20" s="9">
        <v>24000</v>
      </c>
      <c r="D20" s="9">
        <v>25000</v>
      </c>
      <c r="E20" s="9">
        <v>39000</v>
      </c>
      <c r="F20" s="9">
        <f t="shared" si="0"/>
        <v>1000</v>
      </c>
      <c r="G20" s="10">
        <f t="shared" si="1"/>
        <v>4.1666666666666664E-2</v>
      </c>
      <c r="H20" s="9">
        <f t="shared" si="2"/>
        <v>14000</v>
      </c>
      <c r="I20" s="10">
        <f t="shared" si="3"/>
        <v>0.35897435897435898</v>
      </c>
      <c r="J20" s="11" t="str">
        <f t="shared" si="4"/>
        <v>Unfavorable</v>
      </c>
    </row>
    <row r="21" spans="1:10" ht="15" customHeight="1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5" customHeight="1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25.05" customHeight="1">
      <c r="A23" s="18"/>
      <c r="B23" s="18" t="s">
        <v>24</v>
      </c>
      <c r="C23" s="18"/>
      <c r="D23" s="19"/>
      <c r="E23" s="18"/>
      <c r="F23" s="20"/>
      <c r="G23" s="21"/>
      <c r="H23" s="22" t="s">
        <v>21</v>
      </c>
      <c r="I23" s="18"/>
      <c r="J23" s="18"/>
    </row>
    <row r="24" spans="1:10" ht="14.4">
      <c r="A24" s="23" t="s">
        <v>20</v>
      </c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5.75" customHeight="1"/>
    <row r="26" spans="1:10" ht="15.75" customHeight="1">
      <c r="B26" t="s">
        <v>1</v>
      </c>
      <c r="C26" t="s">
        <v>17</v>
      </c>
      <c r="D26" t="s">
        <v>18</v>
      </c>
      <c r="E26" t="s">
        <v>19</v>
      </c>
      <c r="G26" s="13"/>
    </row>
    <row r="27" spans="1:10" ht="15.75" customHeight="1">
      <c r="B27" t="s">
        <v>11</v>
      </c>
      <c r="C27" s="12">
        <f>SUMIF(B6:B20, "SALES", C6:C20 )</f>
        <v>227000</v>
      </c>
      <c r="D27" s="12">
        <f ca="1">SUMIFS(D:D,B:B,"Sales")</f>
        <v>227000</v>
      </c>
      <c r="E27" s="12">
        <f ca="1">SUMIFS(E:E,B:B,"Sales")</f>
        <v>390000</v>
      </c>
    </row>
    <row r="28" spans="1:10" ht="15.75" customHeight="1">
      <c r="B28" t="s">
        <v>12</v>
      </c>
      <c r="C28" s="12">
        <f>SUMIF(B6:B20, "MARKETING", C6:C20)</f>
        <v>128000</v>
      </c>
      <c r="D28" s="12">
        <f ca="1">SUMIFS(D:D,B:B,"Marketing")</f>
        <v>130000</v>
      </c>
      <c r="E28" s="12">
        <f ca="1">SUMIFS(E:E,B:B,"Marketing")</f>
        <v>248000</v>
      </c>
    </row>
    <row r="29" spans="1:10" ht="15.75" customHeight="1">
      <c r="B29" t="s">
        <v>13</v>
      </c>
      <c r="C29" s="12">
        <f>SUMIF(B6:B20, "HR", C6:C20 )</f>
        <v>65000</v>
      </c>
      <c r="D29" s="12">
        <f ca="1">SUMIFS(D:D,B:B,"HR")</f>
        <v>65000</v>
      </c>
      <c r="E29" s="12">
        <f ca="1">SUMIFS(E:E,B:B,"HR")</f>
        <v>80000</v>
      </c>
    </row>
    <row r="30" spans="1:10" ht="15.75" customHeight="1">
      <c r="B30" t="s">
        <v>14</v>
      </c>
      <c r="C30" s="12">
        <f>SUMIF(B6:B20, "IT", C6:C20)</f>
        <v>102000</v>
      </c>
      <c r="D30" s="12">
        <f ca="1">SUMIFS(D:D,B:B,"IT")</f>
        <v>102000</v>
      </c>
      <c r="E30" s="12">
        <f ca="1">SUMIFS(E:E,B:B,"IT")</f>
        <v>166000</v>
      </c>
    </row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</sheetData>
  <pageMargins left="0.75" right="0.75" top="1" bottom="1" header="0" footer="0"/>
  <pageSetup orientation="landscape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2026-01-28T14:38:25Z</dcterms:created>
  <dcterms:modified xsi:type="dcterms:W3CDTF">2026-01-31T15:10:15Z</dcterms:modified>
</cp:coreProperties>
</file>