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202b574d7987275/Desktop/"/>
    </mc:Choice>
  </mc:AlternateContent>
  <xr:revisionPtr revIDLastSave="0" documentId="14_{782CFAC8-68BB-4E02-8E0D-24A547B491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R" sheetId="1" r:id="rId1"/>
  </sheet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41" i="1"/>
  <c r="I40" i="1"/>
  <c r="I34" i="1"/>
  <c r="I36" i="1" s="1"/>
  <c r="I35" i="1"/>
  <c r="I8" i="1"/>
  <c r="I7" i="1"/>
  <c r="I6" i="1"/>
  <c r="I5" i="1"/>
  <c r="I4" i="1"/>
  <c r="I14" i="1"/>
  <c r="I13" i="1"/>
  <c r="I12" i="1"/>
  <c r="I11" i="1"/>
  <c r="I20" i="1"/>
  <c r="I19" i="1"/>
  <c r="I17" i="1"/>
  <c r="I26" i="1"/>
  <c r="I29" i="1"/>
  <c r="I31" i="1"/>
  <c r="I30" i="1"/>
</calcChain>
</file>

<file path=xl/sharedStrings.xml><?xml version="1.0" encoding="utf-8"?>
<sst xmlns="http://schemas.openxmlformats.org/spreadsheetml/2006/main" count="145" uniqueCount="78">
  <si>
    <t>Employee ID</t>
  </si>
  <si>
    <t>Department</t>
  </si>
  <si>
    <t>Salary</t>
  </si>
  <si>
    <t>Experience (Years)</t>
  </si>
  <si>
    <t>Attrition</t>
  </si>
  <si>
    <t>E001</t>
  </si>
  <si>
    <t>Finance</t>
  </si>
  <si>
    <t>No</t>
  </si>
  <si>
    <t>E002</t>
  </si>
  <si>
    <t>Marketing</t>
  </si>
  <si>
    <t>E003</t>
  </si>
  <si>
    <t>Sales</t>
  </si>
  <si>
    <t>E004</t>
  </si>
  <si>
    <t>IT</t>
  </si>
  <si>
    <t>E005</t>
  </si>
  <si>
    <t>HR</t>
  </si>
  <si>
    <t>E006</t>
  </si>
  <si>
    <t>E007</t>
  </si>
  <si>
    <t>Yes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</si>
  <si>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</si>
  <si>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</si>
  <si>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</si>
  <si>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</si>
  <si>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</si>
  <si>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</si>
  <si>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</si>
  <si>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</si>
  <si>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</si>
  <si>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</si>
  <si>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</si>
  <si>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</si>
  <si>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</si>
  <si>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</si>
  <si>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</si>
  <si>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</si>
  <si>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</si>
  <si>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</si>
  <si>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</si>
  <si>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</si>
  <si>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</si>
  <si>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</si>
  <si>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</si>
  <si>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sum()</t>
  </si>
  <si>
    <t>AVERAGE()</t>
  </si>
  <si>
    <t>MIN()</t>
  </si>
  <si>
    <t>MAX()</t>
  </si>
  <si>
    <t>COUNT()</t>
  </si>
  <si>
    <t>LEFT()</t>
  </si>
  <si>
    <t>RIGHT()</t>
  </si>
  <si>
    <t>MID()</t>
  </si>
  <si>
    <t>CONCAT()</t>
  </si>
  <si>
    <t>MEAN()</t>
  </si>
  <si>
    <t>MODE()</t>
  </si>
  <si>
    <t>MEDIAN()</t>
  </si>
  <si>
    <t>STANDARD DEVIATION()</t>
  </si>
  <si>
    <t>Correlation ()</t>
  </si>
  <si>
    <t>VLOOKUP()</t>
  </si>
  <si>
    <t>HLOOKUP()</t>
  </si>
  <si>
    <t>XLOOKUP()</t>
  </si>
  <si>
    <t>TODAY()</t>
  </si>
  <si>
    <t>NOW()</t>
  </si>
  <si>
    <t xml:space="preserve"> DATEDIF()</t>
  </si>
  <si>
    <t>IF()</t>
  </si>
  <si>
    <t>AND()</t>
  </si>
  <si>
    <t>OR()</t>
  </si>
  <si>
    <t xml:space="preserve">                    MATHEMATICAL FUNCTION</t>
  </si>
  <si>
    <r>
      <t xml:space="preserve">                                  </t>
    </r>
    <r>
      <rPr>
        <b/>
        <sz val="12"/>
        <color theme="1"/>
        <rFont val="Calibri"/>
        <family val="2"/>
        <scheme val="minor"/>
      </rPr>
      <t xml:space="preserve"> TEXT FUNCTION</t>
    </r>
  </si>
  <si>
    <r>
      <t xml:space="preserve">                             </t>
    </r>
    <r>
      <rPr>
        <b/>
        <sz val="12"/>
        <color theme="1"/>
        <rFont val="Calibri"/>
        <family val="2"/>
        <scheme val="minor"/>
      </rPr>
      <t>STATISTICS FUNCTION</t>
    </r>
  </si>
  <si>
    <r>
      <t xml:space="preserve">                               </t>
    </r>
    <r>
      <rPr>
        <b/>
        <sz val="12"/>
        <color theme="1"/>
        <rFont val="Calibri"/>
        <family val="2"/>
        <scheme val="minor"/>
      </rPr>
      <t>LOOKUP FUNCTION</t>
    </r>
  </si>
  <si>
    <r>
      <t xml:space="preserve">                            </t>
    </r>
    <r>
      <rPr>
        <b/>
        <sz val="12"/>
        <color theme="1"/>
        <rFont val="Calibri"/>
        <family val="2"/>
        <scheme val="minor"/>
      </rPr>
      <t xml:space="preserve"> LOGICAL FUNCTION</t>
    </r>
  </si>
  <si>
    <r>
      <t xml:space="preserve">            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</si>
  <si>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>Excel &amp; Advanced Excel Applications in Business Analytics</t>
  </si>
  <si>
    <r>
      <t xml:space="preserve">  </t>
    </r>
    <r>
      <rPr>
        <b/>
        <sz val="18"/>
        <color theme="1"/>
        <rFont val="Calibri"/>
        <family val="2"/>
        <scheme val="minor"/>
      </rPr>
      <t xml:space="preserve">  HUMAN RESOURCES</t>
    </r>
  </si>
  <si>
    <t>Row Labels</t>
  </si>
  <si>
    <t>Grand Total</t>
  </si>
  <si>
    <t>PMT</t>
  </si>
  <si>
    <t>NPV</t>
  </si>
  <si>
    <t xml:space="preserve">                    FINACIAL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</si>
</sst>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/>
    <xf numFmtId="0" fontId="1" fillId="2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22" fontId="0" fillId="0" borderId="12" xfId="0" applyNumberFormat="1" applyBorder="1"/>
    <xf numFmtId="0" fontId="0" fillId="4" borderId="0" xfId="0" applyFill="1"/>
    <xf numFmtId="0" fontId="5" fillId="4" borderId="0" xfId="0" applyFont="1" applyFill="1"/>
    <xf numFmtId="0" fontId="3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5" xfId="0" applyBorder="1" applyAlignment="1">
      <alignment horizontal="left"/>
    </xf>
    <xf numFmtId="164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9" xfId="0" applyNumberFormat="1" applyBorder="1" applyAlignment="1">
      <alignment horizontal="left"/>
    </xf>
  </cellXfs>
  <cellStyles count="1">
    <cellStyle name="Normal" xfId="0" builtinId="0"/>
  </cellStyles>
  <dxfs count="45"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numFmt numFmtId="164" formatCode="&quot;₹&quot;\ #,##0.00;[Red]&quot;₹&quot;\ \-#,##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164" formatCode="&quot;₹&quot;\ #,##0.00;[Red]&quot;₹&quot;\ \-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1447500</c:v>
              </c:pt>
            </c:numLit>
          </c:val>
          <c:extLst>
            <c:ext xmlns:c16="http://schemas.microsoft.com/office/drawing/2014/chart" uri="{C3380CC4-5D6E-409C-BE32-E72D297353CC}">
              <c16:uniqueId val="{00000000-3D5B-45AC-B70E-0EBD763979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511124063"/>
        <c:axId val="350154975"/>
        <c:axId val="0"/>
      </c:bar3DChart>
      <c:catAx>
        <c:axId val="51112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54975"/>
        <c:crosses val="autoZero"/>
        <c:auto val="1"/>
        <c:lblAlgn val="ctr"/>
        <c:lblOffset val="100"/>
        <c:noMultiLvlLbl val="0"/>
      </c:catAx>
      <c:valAx>
        <c:axId val="35015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34</xdr:row>
      <xdr:rowOff>167640</xdr:rowOff>
    </xdr:from>
    <xdr:to>
      <xdr:col>6</xdr:col>
      <xdr:colOff>123964</xdr:colOff>
      <xdr:row>49</xdr:row>
      <xdr:rowOff>126009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D77DF-5007-488E-86D0-F01891352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811500462965" createdVersion="7" refreshedVersion="7" minRefreshableVersion="3" recordCount="30" xr:uid="{1F281936-F01A-4CFA-9C14-37E47C10985D}">
  <cacheSource type="worksheet">
    <worksheetSource name="Table1"/>
  </cacheSource>
  <cacheFields count="5">
    <cacheField name="Employee ID" numFmtId="0">
      <sharedItems/>
    </cacheField>
    <cacheField name="Department" numFmtId="0">
      <sharedItems count="5">
        <s v="Finance"/>
        <s v="Marketing"/>
        <s v="Sales"/>
        <s v="IT"/>
        <s v="HR"/>
      </sharedItems>
    </cacheField>
    <cacheField name="Salary" numFmtId="0">
      <sharedItems containsSemiMixedTypes="0" containsString="0" containsNumber="1" containsInteger="1" minValue="26500" maxValue="70000"/>
    </cacheField>
    <cacheField name="Experience (Years)" numFmtId="0">
      <sharedItems containsSemiMixedTypes="0" containsString="0" containsNumber="1" containsInteger="1" minValue="1" maxValue="10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E001"/>
    <x v="0"/>
    <n v="26500"/>
    <n v="2"/>
    <x v="0"/>
  </r>
  <r>
    <s v="E002"/>
    <x v="1"/>
    <n v="28000"/>
    <n v="3"/>
    <x v="0"/>
  </r>
  <r>
    <s v="E003"/>
    <x v="2"/>
    <n v="29500"/>
    <n v="4"/>
    <x v="0"/>
  </r>
  <r>
    <s v="E004"/>
    <x v="3"/>
    <n v="31000"/>
    <n v="5"/>
    <x v="0"/>
  </r>
  <r>
    <s v="E005"/>
    <x v="4"/>
    <n v="32500"/>
    <n v="6"/>
    <x v="0"/>
  </r>
  <r>
    <s v="E006"/>
    <x v="0"/>
    <n v="34000"/>
    <n v="7"/>
    <x v="0"/>
  </r>
  <r>
    <s v="E007"/>
    <x v="1"/>
    <n v="35500"/>
    <n v="8"/>
    <x v="1"/>
  </r>
  <r>
    <s v="E008"/>
    <x v="2"/>
    <n v="37000"/>
    <n v="9"/>
    <x v="0"/>
  </r>
  <r>
    <s v="E009"/>
    <x v="3"/>
    <n v="38500"/>
    <n v="10"/>
    <x v="0"/>
  </r>
  <r>
    <s v="E010"/>
    <x v="4"/>
    <n v="40000"/>
    <n v="1"/>
    <x v="0"/>
  </r>
  <r>
    <s v="E011"/>
    <x v="0"/>
    <n v="41500"/>
    <n v="2"/>
    <x v="0"/>
  </r>
  <r>
    <s v="E012"/>
    <x v="1"/>
    <n v="43000"/>
    <n v="3"/>
    <x v="0"/>
  </r>
  <r>
    <s v="E013"/>
    <x v="2"/>
    <n v="44500"/>
    <n v="4"/>
    <x v="0"/>
  </r>
  <r>
    <s v="E014"/>
    <x v="3"/>
    <n v="46000"/>
    <n v="5"/>
    <x v="1"/>
  </r>
  <r>
    <s v="E015"/>
    <x v="4"/>
    <n v="47500"/>
    <n v="6"/>
    <x v="0"/>
  </r>
  <r>
    <s v="E016"/>
    <x v="0"/>
    <n v="49000"/>
    <n v="7"/>
    <x v="0"/>
  </r>
  <r>
    <s v="E017"/>
    <x v="1"/>
    <n v="50500"/>
    <n v="8"/>
    <x v="0"/>
  </r>
  <r>
    <s v="E018"/>
    <x v="2"/>
    <n v="52000"/>
    <n v="9"/>
    <x v="0"/>
  </r>
  <r>
    <s v="E019"/>
    <x v="3"/>
    <n v="53500"/>
    <n v="10"/>
    <x v="0"/>
  </r>
  <r>
    <s v="E020"/>
    <x v="4"/>
    <n v="55000"/>
    <n v="1"/>
    <x v="0"/>
  </r>
  <r>
    <s v="E021"/>
    <x v="0"/>
    <n v="56500"/>
    <n v="2"/>
    <x v="1"/>
  </r>
  <r>
    <s v="E022"/>
    <x v="1"/>
    <n v="58000"/>
    <n v="3"/>
    <x v="0"/>
  </r>
  <r>
    <s v="E023"/>
    <x v="2"/>
    <n v="59500"/>
    <n v="4"/>
    <x v="0"/>
  </r>
  <r>
    <s v="E024"/>
    <x v="3"/>
    <n v="61000"/>
    <n v="5"/>
    <x v="0"/>
  </r>
  <r>
    <s v="E025"/>
    <x v="4"/>
    <n v="62500"/>
    <n v="6"/>
    <x v="0"/>
  </r>
  <r>
    <s v="E026"/>
    <x v="0"/>
    <n v="64000"/>
    <n v="7"/>
    <x v="0"/>
  </r>
  <r>
    <s v="E027"/>
    <x v="1"/>
    <n v="65500"/>
    <n v="8"/>
    <x v="0"/>
  </r>
  <r>
    <s v="E028"/>
    <x v="2"/>
    <n v="67000"/>
    <n v="9"/>
    <x v="1"/>
  </r>
  <r>
    <s v="E029"/>
    <x v="3"/>
    <n v="68500"/>
    <n v="10"/>
    <x v="0"/>
  </r>
  <r>
    <s v="E030"/>
    <x v="4"/>
    <n v="7000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14067-141E-4222-8339-7317E65267E3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7:H62" firstHeaderRow="1" firstDataRow="1" firstDataCol="1"/>
  <pivotFields count="5"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1"/>
    <field x="4"/>
  </rowFields>
  <rowItems count="15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F1B79-57B8-4D76-B2AD-5BE11F4ECF23}" name="Table1" displayName="Table1" ref="B4:F34" totalsRowShown="0" headerRowDxfId="44" dataDxfId="42" headerRowBorderDxfId="43" tableBorderDxfId="41" totalsRowBorderDxfId="40">
  <autoFilter ref="B4:F34" xr:uid="{235F1B79-57B8-4D76-B2AD-5BE11F4ECF2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9E0121F-C45C-4E0B-8FEF-D769EA16EF65}" name="Employee ID" dataDxfId="39"/>
    <tableColumn id="2" xr3:uid="{603AD0FA-7809-49BD-A88A-80AF6054D447}" name="Department" dataDxfId="38"/>
    <tableColumn id="3" xr3:uid="{02422556-FB9A-4133-B440-3A69CEB26D2A}" name="Salary" dataDxfId="37"/>
    <tableColumn id="4" xr3:uid="{FB6BD325-E2D5-416E-89B5-3DA18BADFBEE}" name="Experience (Years)" dataDxfId="36"/>
    <tableColumn id="5" xr3:uid="{B264A447-AD92-4249-B09A-A2155532689A}" name="Attrition" dataDxfId="3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9C89D6-6E37-4949-91A5-3DCE64904B7D}" name="Table3" displayName="Table3" ref="I29:I31" headerRowCount="0" totalsRowShown="0" headerRowDxfId="34" tableBorderDxfId="33" totalsRowBorderDxfId="32">
  <tableColumns count="1">
    <tableColumn id="1" xr3:uid="{A39F77BD-E831-47EE-9EDE-1BC343F87565}" name="Column1" dataDxfId="3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7DE406-A1D5-48A0-AD3F-DDF9E02E5730}" name="Table4" displayName="Table4" ref="I24:I26" headerRowCount="0" totalsRowShown="0" headerRowDxfId="30" tableBorderDxfId="29" totalsRowBorderDxfId="28">
  <tableColumns count="1">
    <tableColumn id="1" xr3:uid="{8591048C-D585-4B13-B571-59D65A0B46BA}" name="Column1" dataDxfId="27">
      <calculatedColumnFormula>VLOOKUP(B5,B5:F34,3,FALSE)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E9DB4F-417C-42C6-A65E-A1AA25427AC0}" name="Table9" displayName="Table9" ref="I11:I14" headerRowCount="0" totalsRowShown="0" headerRowDxfId="26" dataDxfId="25" tableBorderDxfId="24" totalsRowBorderDxfId="23">
  <tableColumns count="1">
    <tableColumn id="1" xr3:uid="{351408A5-BC73-4AF5-88D4-6F30A2970608}" name="Column1" dataDxfId="2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7DDDDE-801A-4662-905D-5E9D96BFDDD3}" name="Table10" displayName="Table10" ref="I17:I21" headerRowCount="0" totalsRowShown="0" headerRowDxfId="21" dataDxfId="20" tableBorderDxfId="19" totalsRowBorderDxfId="18">
  <tableColumns count="1">
    <tableColumn id="1" xr3:uid="{24D7D737-5EF8-42AD-8B64-6AD5F1A82B63}" name="Column1" dataDxfId="17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79949A-1376-476C-B8FC-E023BA37F8E2}" name="Table11" displayName="Table11" ref="I4:I8" headerRowCount="0" totalsRowShown="0" headerRowDxfId="16" headerRowBorderDxfId="15" tableBorderDxfId="14" totalsRowBorderDxfId="13">
  <tableColumns count="1">
    <tableColumn id="1" xr3:uid="{A0D0F5DB-4695-48A8-A3A4-7E37EA6B9AD5}" name="Column1" headerRowDxfId="12" dataDxfId="1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83F5B1-F6B2-4520-9765-9692D940960A}" name="Table14" displayName="Table14" ref="I34:I36" headerRowCount="0" totalsRowShown="0" headerRowDxfId="10" tableBorderDxfId="9" totalsRowBorderDxfId="8">
  <tableColumns count="1">
    <tableColumn id="1" xr3:uid="{90F27A21-53D8-4662-A22F-C28314205895}" name="Column1" dataDxfId="7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EE8D03-78E2-41B8-AC83-EB169D426D5E}" name="Table2" displayName="Table2" ref="H40:I41" headerRowCount="0" totalsRowShown="0" headerRowBorderDxfId="5" tableBorderDxfId="6" totalsRowBorderDxfId="4">
  <tableColumns count="2">
    <tableColumn id="1" xr3:uid="{67C423A7-20E8-496B-9C42-C19B1A36A3A8}" name="Column1" headerRowDxfId="0" dataDxfId="3"/>
    <tableColumn id="2" xr3:uid="{1A0AF754-B686-45D3-B980-39A975FCF0F2}" name="Column2" headerRowDxfId="1" dataDxfId="2">
      <calculatedColumnFormula>NPV(5%,D4:D33)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pane xSplit="2" ySplit="5" topLeftCell="D7" activePane="bottomRight" state="frozen"/>
      <selection pane="topRight" activeCell="C1" sqref="C1"/>
      <selection pane="bottomLeft" activeCell="A6" sqref="A6"/>
      <selection pane="bottomRight" activeCell="H45" sqref="H45"/>
    </sheetView>
  </sheetViews>
  <sheetFormatPr defaultRowHeight="14.4" x14ac:dyDescent="0.3"/>
  <cols>
    <col min="2" max="2" width="13.44140625" customWidth="1"/>
    <col min="3" max="3" width="13" customWidth="1"/>
    <col min="4" max="4" width="12.21875" customWidth="1"/>
    <col min="5" max="5" width="18.21875" customWidth="1"/>
    <col min="6" max="6" width="9.88671875" customWidth="1"/>
    <col min="8" max="8" width="21.33203125" customWidth="1"/>
    <col min="9" max="9" width="24.33203125" customWidth="1"/>
    <col min="10" max="10" width="11.44140625" bestFit="1" customWidth="1"/>
    <col min="11" max="11" width="14.6640625" bestFit="1" customWidth="1"/>
  </cols>
  <sheetData>
    <row r="1" spans="1:9" ht="27" customHeight="1" x14ac:dyDescent="0.4">
      <c r="A1" s="24"/>
      <c r="B1" s="25" t="s">
        <v>71</v>
      </c>
      <c r="C1" s="24"/>
      <c r="D1" s="24"/>
      <c r="E1" s="24"/>
      <c r="F1" s="24"/>
      <c r="G1" s="24"/>
    </row>
    <row r="2" spans="1:9" ht="27" customHeight="1" x14ac:dyDescent="0.45">
      <c r="A2" s="24"/>
      <c r="B2" s="25"/>
      <c r="C2" s="26" t="s">
        <v>72</v>
      </c>
      <c r="D2" s="24"/>
      <c r="E2" s="24"/>
      <c r="F2" s="24"/>
      <c r="G2" s="24"/>
    </row>
    <row r="3" spans="1:9" ht="15.6" x14ac:dyDescent="0.3">
      <c r="A3" s="24"/>
      <c r="B3" s="24"/>
      <c r="C3" s="24"/>
      <c r="D3" s="24"/>
      <c r="E3" s="24"/>
      <c r="F3" s="24"/>
      <c r="G3" s="24"/>
      <c r="H3" s="26" t="s">
        <v>65</v>
      </c>
      <c r="I3" s="24"/>
    </row>
    <row r="4" spans="1:9" x14ac:dyDescent="0.3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H4" s="13" t="s">
        <v>42</v>
      </c>
      <c r="I4" s="16">
        <f>SUM(Table1[Salary])</f>
        <v>1447500</v>
      </c>
    </row>
    <row r="5" spans="1:9" x14ac:dyDescent="0.3">
      <c r="B5" s="4" t="s">
        <v>5</v>
      </c>
      <c r="C5" s="5" t="s">
        <v>6</v>
      </c>
      <c r="D5" s="5">
        <v>26500</v>
      </c>
      <c r="E5" s="5">
        <v>2</v>
      </c>
      <c r="F5" s="6" t="s">
        <v>7</v>
      </c>
      <c r="H5" s="14" t="s">
        <v>43</v>
      </c>
      <c r="I5" s="16">
        <f>AVERAGE(Table1[Salary])</f>
        <v>48250</v>
      </c>
    </row>
    <row r="6" spans="1:9" x14ac:dyDescent="0.3">
      <c r="B6" s="4" t="s">
        <v>8</v>
      </c>
      <c r="C6" s="5" t="s">
        <v>9</v>
      </c>
      <c r="D6" s="5">
        <v>28000</v>
      </c>
      <c r="E6" s="5">
        <v>3</v>
      </c>
      <c r="F6" s="6" t="s">
        <v>7</v>
      </c>
      <c r="H6" s="13" t="s">
        <v>44</v>
      </c>
      <c r="I6" s="16">
        <f>MIN(Table1[Salary])</f>
        <v>26500</v>
      </c>
    </row>
    <row r="7" spans="1:9" x14ac:dyDescent="0.3">
      <c r="B7" s="4" t="s">
        <v>10</v>
      </c>
      <c r="C7" s="5" t="s">
        <v>11</v>
      </c>
      <c r="D7" s="5">
        <v>29500</v>
      </c>
      <c r="E7" s="5">
        <v>4</v>
      </c>
      <c r="F7" s="6" t="s">
        <v>7</v>
      </c>
      <c r="H7" s="14" t="s">
        <v>45</v>
      </c>
      <c r="I7" s="16">
        <f>MAX(Table1[Salary])</f>
        <v>70000</v>
      </c>
    </row>
    <row r="8" spans="1:9" x14ac:dyDescent="0.3">
      <c r="B8" s="4" t="s">
        <v>12</v>
      </c>
      <c r="C8" s="5" t="s">
        <v>13</v>
      </c>
      <c r="D8" s="5">
        <v>31000</v>
      </c>
      <c r="E8" s="5">
        <v>5</v>
      </c>
      <c r="F8" s="6" t="s">
        <v>7</v>
      </c>
      <c r="H8" s="13" t="s">
        <v>46</v>
      </c>
      <c r="I8" s="10">
        <f>COUNT(Table1[Salary])</f>
        <v>30</v>
      </c>
    </row>
    <row r="9" spans="1:9" x14ac:dyDescent="0.3">
      <c r="B9" s="4" t="s">
        <v>14</v>
      </c>
      <c r="C9" s="5" t="s">
        <v>15</v>
      </c>
      <c r="D9" s="5">
        <v>32500</v>
      </c>
      <c r="E9" s="5">
        <v>6</v>
      </c>
      <c r="F9" s="6" t="s">
        <v>7</v>
      </c>
    </row>
    <row r="10" spans="1:9" ht="15.6" x14ac:dyDescent="0.3">
      <c r="B10" s="4" t="s">
        <v>16</v>
      </c>
      <c r="C10" s="5" t="s">
        <v>6</v>
      </c>
      <c r="D10" s="5">
        <v>34000</v>
      </c>
      <c r="E10" s="5">
        <v>7</v>
      </c>
      <c r="F10" s="6" t="s">
        <v>7</v>
      </c>
      <c r="H10" s="24" t="s">
        <v>66</v>
      </c>
      <c r="I10" s="24"/>
    </row>
    <row r="11" spans="1:9" x14ac:dyDescent="0.3">
      <c r="B11" s="4" t="s">
        <v>17</v>
      </c>
      <c r="C11" s="5" t="s">
        <v>9</v>
      </c>
      <c r="D11" s="5">
        <v>35500</v>
      </c>
      <c r="E11" s="5">
        <v>8</v>
      </c>
      <c r="F11" s="6" t="s">
        <v>18</v>
      </c>
      <c r="H11" s="11" t="s">
        <v>47</v>
      </c>
      <c r="I11" s="15" t="str">
        <f>LEFT(C5,2)</f>
        <v>Fi</v>
      </c>
    </row>
    <row r="12" spans="1:9" x14ac:dyDescent="0.3">
      <c r="B12" s="4" t="s">
        <v>19</v>
      </c>
      <c r="C12" s="5" t="s">
        <v>11</v>
      </c>
      <c r="D12" s="5">
        <v>37000</v>
      </c>
      <c r="E12" s="5">
        <v>9</v>
      </c>
      <c r="F12" s="6" t="s">
        <v>7</v>
      </c>
      <c r="H12" s="14" t="s">
        <v>48</v>
      </c>
      <c r="I12" s="17" t="str">
        <f>RIGHT(C5,3)</f>
        <v>nce</v>
      </c>
    </row>
    <row r="13" spans="1:9" x14ac:dyDescent="0.3">
      <c r="B13" s="4" t="s">
        <v>20</v>
      </c>
      <c r="C13" s="5" t="s">
        <v>13</v>
      </c>
      <c r="D13" s="5">
        <v>38500</v>
      </c>
      <c r="E13" s="5">
        <v>10</v>
      </c>
      <c r="F13" s="6" t="s">
        <v>7</v>
      </c>
      <c r="H13" s="13" t="s">
        <v>49</v>
      </c>
      <c r="I13" s="17" t="str">
        <f>MID(C5,2,3)</f>
        <v>ina</v>
      </c>
    </row>
    <row r="14" spans="1:9" x14ac:dyDescent="0.3">
      <c r="B14" s="4" t="s">
        <v>21</v>
      </c>
      <c r="C14" s="5" t="s">
        <v>15</v>
      </c>
      <c r="D14" s="5">
        <v>40000</v>
      </c>
      <c r="E14" s="5">
        <v>1</v>
      </c>
      <c r="F14" s="6" t="s">
        <v>7</v>
      </c>
      <c r="H14" s="14" t="s">
        <v>50</v>
      </c>
      <c r="I14" s="18" t="str">
        <f>_xlfn.CONCAT(B5:C5)</f>
        <v>E001Finance</v>
      </c>
    </row>
    <row r="15" spans="1:9" x14ac:dyDescent="0.3">
      <c r="B15" s="4" t="s">
        <v>22</v>
      </c>
      <c r="C15" s="5" t="s">
        <v>6</v>
      </c>
      <c r="D15" s="5">
        <v>41500</v>
      </c>
      <c r="E15" s="5">
        <v>2</v>
      </c>
      <c r="F15" s="6" t="s">
        <v>7</v>
      </c>
    </row>
    <row r="16" spans="1:9" ht="15.6" x14ac:dyDescent="0.3">
      <c r="B16" s="4" t="s">
        <v>23</v>
      </c>
      <c r="C16" s="5" t="s">
        <v>9</v>
      </c>
      <c r="D16" s="5">
        <v>43000</v>
      </c>
      <c r="E16" s="5">
        <v>3</v>
      </c>
      <c r="F16" s="6" t="s">
        <v>7</v>
      </c>
      <c r="H16" s="24" t="s">
        <v>67</v>
      </c>
      <c r="I16" s="24"/>
    </row>
    <row r="17" spans="2:9" x14ac:dyDescent="0.3">
      <c r="B17" s="4" t="s">
        <v>24</v>
      </c>
      <c r="C17" s="5" t="s">
        <v>11</v>
      </c>
      <c r="D17" s="5">
        <v>44500</v>
      </c>
      <c r="E17" s="5">
        <v>4</v>
      </c>
      <c r="F17" s="6" t="s">
        <v>7</v>
      </c>
      <c r="H17" s="20" t="s">
        <v>51</v>
      </c>
      <c r="I17" s="15">
        <f>AVERAGE(Table1[Salary])</f>
        <v>48250</v>
      </c>
    </row>
    <row r="18" spans="2:9" x14ac:dyDescent="0.3">
      <c r="B18" s="4" t="s">
        <v>25</v>
      </c>
      <c r="C18" s="5" t="s">
        <v>13</v>
      </c>
      <c r="D18" s="5">
        <v>46000</v>
      </c>
      <c r="E18" s="5">
        <v>5</v>
      </c>
      <c r="F18" s="6" t="s">
        <v>18</v>
      </c>
      <c r="H18" s="21" t="s">
        <v>52</v>
      </c>
      <c r="I18" s="17"/>
    </row>
    <row r="19" spans="2:9" x14ac:dyDescent="0.3">
      <c r="B19" s="4" t="s">
        <v>26</v>
      </c>
      <c r="C19" s="5" t="s">
        <v>15</v>
      </c>
      <c r="D19" s="5">
        <v>47500</v>
      </c>
      <c r="E19" s="5">
        <v>6</v>
      </c>
      <c r="F19" s="6" t="s">
        <v>7</v>
      </c>
      <c r="H19" s="22" t="s">
        <v>53</v>
      </c>
      <c r="I19" s="17">
        <f>MEDIAN(Table1[Salary])</f>
        <v>48250</v>
      </c>
    </row>
    <row r="20" spans="2:9" x14ac:dyDescent="0.3">
      <c r="B20" s="4" t="s">
        <v>27</v>
      </c>
      <c r="C20" s="5" t="s">
        <v>6</v>
      </c>
      <c r="D20" s="5">
        <v>49000</v>
      </c>
      <c r="E20" s="5">
        <v>7</v>
      </c>
      <c r="F20" s="6" t="s">
        <v>7</v>
      </c>
      <c r="H20" s="21" t="s">
        <v>54</v>
      </c>
      <c r="I20" s="17">
        <f>_xlfn.STDEV.P(Table1[Salary])</f>
        <v>12983.162172598784</v>
      </c>
    </row>
    <row r="21" spans="2:9" x14ac:dyDescent="0.3">
      <c r="B21" s="4" t="s">
        <v>28</v>
      </c>
      <c r="C21" s="5" t="s">
        <v>9</v>
      </c>
      <c r="D21" s="5">
        <v>50500</v>
      </c>
      <c r="E21" s="5">
        <v>8</v>
      </c>
      <c r="F21" s="6" t="s">
        <v>7</v>
      </c>
      <c r="H21" s="22" t="s">
        <v>55</v>
      </c>
      <c r="I21" s="18"/>
    </row>
    <row r="22" spans="2:9" x14ac:dyDescent="0.3">
      <c r="B22" s="4" t="s">
        <v>29</v>
      </c>
      <c r="C22" s="5" t="s">
        <v>11</v>
      </c>
      <c r="D22" s="5">
        <v>52000</v>
      </c>
      <c r="E22" s="5">
        <v>9</v>
      </c>
      <c r="F22" s="6" t="s">
        <v>7</v>
      </c>
    </row>
    <row r="23" spans="2:9" ht="15.6" x14ac:dyDescent="0.3">
      <c r="B23" s="4" t="s">
        <v>30</v>
      </c>
      <c r="C23" s="5" t="s">
        <v>13</v>
      </c>
      <c r="D23" s="5">
        <v>53500</v>
      </c>
      <c r="E23" s="5">
        <v>10</v>
      </c>
      <c r="F23" s="6" t="s">
        <v>7</v>
      </c>
      <c r="H23" s="24" t="s">
        <v>68</v>
      </c>
      <c r="I23" s="24"/>
    </row>
    <row r="24" spans="2:9" x14ac:dyDescent="0.3">
      <c r="B24" s="4" t="s">
        <v>31</v>
      </c>
      <c r="C24" s="5" t="s">
        <v>15</v>
      </c>
      <c r="D24" s="5">
        <v>55000</v>
      </c>
      <c r="E24" s="5">
        <v>1</v>
      </c>
      <c r="F24" s="6" t="s">
        <v>7</v>
      </c>
      <c r="H24" s="11" t="s">
        <v>56</v>
      </c>
      <c r="I24" s="15" t="str">
        <f>VLOOKUP(B5,B5:F34,5,FALSE)</f>
        <v>No</v>
      </c>
    </row>
    <row r="25" spans="2:9" x14ac:dyDescent="0.3">
      <c r="B25" s="4" t="s">
        <v>32</v>
      </c>
      <c r="C25" s="5" t="s">
        <v>6</v>
      </c>
      <c r="D25" s="5">
        <v>56500</v>
      </c>
      <c r="E25" s="5">
        <v>2</v>
      </c>
      <c r="F25" s="6" t="s">
        <v>18</v>
      </c>
      <c r="H25" s="14" t="s">
        <v>57</v>
      </c>
      <c r="I25" s="17" t="str">
        <f>HLOOKUP(B5,B5:F35,3,FALSE)</f>
        <v>E003</v>
      </c>
    </row>
    <row r="26" spans="2:9" x14ac:dyDescent="0.3">
      <c r="B26" s="4" t="s">
        <v>33</v>
      </c>
      <c r="C26" s="5" t="s">
        <v>9</v>
      </c>
      <c r="D26" s="5">
        <v>58000</v>
      </c>
      <c r="E26" s="5">
        <v>3</v>
      </c>
      <c r="F26" s="6" t="s">
        <v>7</v>
      </c>
      <c r="H26" s="13" t="s">
        <v>58</v>
      </c>
      <c r="I26" s="18" t="str">
        <f>VLOOKUP(B7,B7:F36,5,FALSE)</f>
        <v>No</v>
      </c>
    </row>
    <row r="27" spans="2:9" x14ac:dyDescent="0.3">
      <c r="B27" s="4" t="s">
        <v>34</v>
      </c>
      <c r="C27" s="5" t="s">
        <v>11</v>
      </c>
      <c r="D27" s="5">
        <v>59500</v>
      </c>
      <c r="E27" s="5">
        <v>4</v>
      </c>
      <c r="F27" s="6" t="s">
        <v>7</v>
      </c>
    </row>
    <row r="28" spans="2:9" ht="15.6" x14ac:dyDescent="0.3">
      <c r="B28" s="4" t="s">
        <v>35</v>
      </c>
      <c r="C28" s="5" t="s">
        <v>13</v>
      </c>
      <c r="D28" s="5">
        <v>61000</v>
      </c>
      <c r="E28" s="5">
        <v>5</v>
      </c>
      <c r="F28" s="6" t="s">
        <v>7</v>
      </c>
      <c r="H28" s="24" t="s">
        <v>69</v>
      </c>
      <c r="I28" s="24"/>
    </row>
    <row r="29" spans="2:9" x14ac:dyDescent="0.3">
      <c r="B29" s="4" t="s">
        <v>36</v>
      </c>
      <c r="C29" s="5" t="s">
        <v>15</v>
      </c>
      <c r="D29" s="5">
        <v>62500</v>
      </c>
      <c r="E29" s="5">
        <v>6</v>
      </c>
      <c r="F29" s="6" t="s">
        <v>7</v>
      </c>
      <c r="H29" s="13" t="s">
        <v>62</v>
      </c>
      <c r="I29" s="15" t="str">
        <f>IF(B5&gt;26000,"MINIMUM")</f>
        <v>MINIMUM</v>
      </c>
    </row>
    <row r="30" spans="2:9" x14ac:dyDescent="0.3">
      <c r="B30" s="4" t="s">
        <v>37</v>
      </c>
      <c r="C30" s="5" t="s">
        <v>6</v>
      </c>
      <c r="D30" s="5">
        <v>64000</v>
      </c>
      <c r="E30" s="5">
        <v>7</v>
      </c>
      <c r="F30" s="6" t="s">
        <v>7</v>
      </c>
      <c r="H30" s="14" t="s">
        <v>64</v>
      </c>
      <c r="I30" s="16" t="b">
        <f>OR(B5&gt;26000,"TURE")</f>
        <v>1</v>
      </c>
    </row>
    <row r="31" spans="2:9" x14ac:dyDescent="0.3">
      <c r="B31" s="4" t="s">
        <v>38</v>
      </c>
      <c r="C31" s="5" t="s">
        <v>9</v>
      </c>
      <c r="D31" s="5">
        <v>65500</v>
      </c>
      <c r="E31" s="5">
        <v>8</v>
      </c>
      <c r="F31" s="6" t="s">
        <v>7</v>
      </c>
      <c r="H31" s="13" t="s">
        <v>63</v>
      </c>
      <c r="I31" s="10" t="b">
        <f>AND(D5&gt;70000,"TURE")</f>
        <v>0</v>
      </c>
    </row>
    <row r="32" spans="2:9" x14ac:dyDescent="0.3">
      <c r="B32" s="4" t="s">
        <v>39</v>
      </c>
      <c r="C32" s="5" t="s">
        <v>11</v>
      </c>
      <c r="D32" s="5">
        <v>67000</v>
      </c>
      <c r="E32" s="5">
        <v>9</v>
      </c>
      <c r="F32" s="6" t="s">
        <v>18</v>
      </c>
    </row>
    <row r="33" spans="2:9" ht="15.6" x14ac:dyDescent="0.3">
      <c r="B33" s="4" t="s">
        <v>40</v>
      </c>
      <c r="C33" s="5" t="s">
        <v>13</v>
      </c>
      <c r="D33" s="5">
        <v>68500</v>
      </c>
      <c r="E33" s="5">
        <v>10</v>
      </c>
      <c r="F33" s="6" t="s">
        <v>7</v>
      </c>
      <c r="H33" s="24" t="s">
        <v>70</v>
      </c>
      <c r="I33" s="24"/>
    </row>
    <row r="34" spans="2:9" x14ac:dyDescent="0.3">
      <c r="B34" s="7" t="s">
        <v>41</v>
      </c>
      <c r="C34" s="8" t="s">
        <v>15</v>
      </c>
      <c r="D34" s="8">
        <v>70000</v>
      </c>
      <c r="E34" s="8">
        <v>1</v>
      </c>
      <c r="F34" s="9" t="s">
        <v>7</v>
      </c>
      <c r="H34" s="11" t="s">
        <v>59</v>
      </c>
      <c r="I34" s="19">
        <f ca="1">TODAY()</f>
        <v>46069</v>
      </c>
    </row>
    <row r="35" spans="2:9" x14ac:dyDescent="0.3">
      <c r="H35" s="12" t="s">
        <v>60</v>
      </c>
      <c r="I35" s="23">
        <f ca="1">NOW()</f>
        <v>46069.821950347221</v>
      </c>
    </row>
    <row r="36" spans="2:9" x14ac:dyDescent="0.3">
      <c r="H36" s="11" t="s">
        <v>61</v>
      </c>
      <c r="I36" s="10">
        <f ca="1">DAY(I34)</f>
        <v>16</v>
      </c>
    </row>
    <row r="39" spans="2:9" ht="15.6" x14ac:dyDescent="0.3">
      <c r="H39" s="26" t="s">
        <v>77</v>
      </c>
      <c r="I39" s="24"/>
    </row>
    <row r="40" spans="2:9" x14ac:dyDescent="0.3">
      <c r="H40" s="30" t="s">
        <v>75</v>
      </c>
      <c r="I40" s="31">
        <f>PMT(5%/12, 60, D17)</f>
        <v>-839.76989715848663</v>
      </c>
    </row>
    <row r="41" spans="2:9" x14ac:dyDescent="0.3">
      <c r="H41" s="32" t="s">
        <v>76</v>
      </c>
      <c r="I41" s="33">
        <f>NPV(5%,D5:D34)</f>
        <v>660303.77922860743</v>
      </c>
    </row>
    <row r="47" spans="2:9" x14ac:dyDescent="0.3">
      <c r="H47" s="27" t="s">
        <v>73</v>
      </c>
    </row>
    <row r="48" spans="2:9" x14ac:dyDescent="0.3">
      <c r="H48" s="28" t="s">
        <v>6</v>
      </c>
    </row>
    <row r="49" spans="8:8" x14ac:dyDescent="0.3">
      <c r="H49" s="29" t="s">
        <v>7</v>
      </c>
    </row>
    <row r="50" spans="8:8" x14ac:dyDescent="0.3">
      <c r="H50" s="29" t="s">
        <v>18</v>
      </c>
    </row>
    <row r="51" spans="8:8" x14ac:dyDescent="0.3">
      <c r="H51" s="28" t="s">
        <v>15</v>
      </c>
    </row>
    <row r="52" spans="8:8" x14ac:dyDescent="0.3">
      <c r="H52" s="29" t="s">
        <v>7</v>
      </c>
    </row>
    <row r="53" spans="8:8" x14ac:dyDescent="0.3">
      <c r="H53" s="28" t="s">
        <v>13</v>
      </c>
    </row>
    <row r="54" spans="8:8" x14ac:dyDescent="0.3">
      <c r="H54" s="29" t="s">
        <v>7</v>
      </c>
    </row>
    <row r="55" spans="8:8" x14ac:dyDescent="0.3">
      <c r="H55" s="29" t="s">
        <v>18</v>
      </c>
    </row>
    <row r="56" spans="8:8" x14ac:dyDescent="0.3">
      <c r="H56" s="28" t="s">
        <v>9</v>
      </c>
    </row>
    <row r="57" spans="8:8" x14ac:dyDescent="0.3">
      <c r="H57" s="29" t="s">
        <v>7</v>
      </c>
    </row>
    <row r="58" spans="8:8" x14ac:dyDescent="0.3">
      <c r="H58" s="29" t="s">
        <v>18</v>
      </c>
    </row>
    <row r="59" spans="8:8" x14ac:dyDescent="0.3">
      <c r="H59" s="28" t="s">
        <v>11</v>
      </c>
    </row>
    <row r="60" spans="8:8" x14ac:dyDescent="0.3">
      <c r="H60" s="29" t="s">
        <v>7</v>
      </c>
    </row>
    <row r="61" spans="8:8" x14ac:dyDescent="0.3">
      <c r="H61" s="29" t="s">
        <v>18</v>
      </c>
    </row>
    <row r="62" spans="8:8" x14ac:dyDescent="0.3">
      <c r="H62" s="28" t="s">
        <v>74</v>
      </c>
    </row>
  </sheetData>
  <pageMargins left="0.75" right="0.75" top="1" bottom="1" header="0.5" footer="0.5"/>
  <pageSetup orientation="portrait" r:id="rId2"/>
  <drawing r:id="rId3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 yawalikar</cp:lastModifiedBy>
  <dcterms:created xsi:type="dcterms:W3CDTF">2026-02-16T11:22:39Z</dcterms:created>
  <dcterms:modified xsi:type="dcterms:W3CDTF">2026-02-16T14:13:57Z</dcterms:modified>
</cp:coreProperties>
</file>