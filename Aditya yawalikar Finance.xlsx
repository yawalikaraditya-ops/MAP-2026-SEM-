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5202b574d7987275/Desktop/"/>
    </mc:Choice>
  </mc:AlternateContent>
  <xr:revisionPtr revIDLastSave="1" documentId="8_{DED00E47-0FE8-4860-BA5F-0B0454E62B4D}" xr6:coauthVersionLast="47" xr6:coauthVersionMax="47" xr10:uidLastSave="{EEE84296-9F9F-4537-ADCC-C8CE64FCB379}"/>
  <bookViews>
    <workbookView xWindow="-108" yWindow="-108" windowWidth="23256" windowHeight="13896" xr2:uid="{00000000-000D-0000-FFFF-FFFF00000000}"/>
  </bookViews>
  <sheets>
    <sheet name="Finan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4" i="1"/>
  <c r="H19" i="1" l="1"/>
  <c r="H27" i="1"/>
  <c r="H28" i="1"/>
  <c r="H29" i="1"/>
  <c r="H15" i="1"/>
  <c r="H2" i="1"/>
  <c r="H6" i="1"/>
  <c r="H5" i="1"/>
  <c r="H4" i="1"/>
  <c r="H3" i="1"/>
  <c r="H12" i="1"/>
  <c r="H11" i="1"/>
  <c r="H10" i="1"/>
  <c r="H9" i="1"/>
  <c r="H18" i="1"/>
  <c r="H17" i="1"/>
  <c r="H24" i="1"/>
  <c r="H23" i="1"/>
  <c r="H22" i="1"/>
  <c r="K10" i="1"/>
  <c r="K9" i="1"/>
</calcChain>
</file>

<file path=xl/sharedStrings.xml><?xml version="1.0" encoding="utf-8"?>
<sst xmlns="http://schemas.openxmlformats.org/spreadsheetml/2006/main" count="39" uniqueCount="39">
  <si>
    <t>Revenue</t>
  </si>
  <si>
    <t>Expenses</t>
  </si>
  <si>
    <t>Profit</t>
  </si>
  <si>
    <t>Budget_vs_Actual</t>
  </si>
  <si>
    <t>LEFT()</t>
  </si>
  <si>
    <t>RIGHT()</t>
  </si>
  <si>
    <t>MID()</t>
  </si>
  <si>
    <t>CONCAT()</t>
  </si>
  <si>
    <t>MEAN()</t>
  </si>
  <si>
    <t>MODE()</t>
  </si>
  <si>
    <t>MEDIAN()</t>
  </si>
  <si>
    <t>STANDARD DEVIATION()</t>
  </si>
  <si>
    <t>Correlation ()</t>
  </si>
  <si>
    <t>VLOOKUP()</t>
  </si>
  <si>
    <t>HLOOKUP()</t>
  </si>
  <si>
    <t>XLOOKUP()</t>
  </si>
  <si>
    <t>sum()</t>
  </si>
  <si>
    <t>AVERAGE()</t>
  </si>
  <si>
    <t>MIN()</t>
  </si>
  <si>
    <t>MAX()</t>
  </si>
  <si>
    <t>COUNT()</t>
  </si>
  <si>
    <t>IF</t>
  </si>
  <si>
    <t xml:space="preserve">OR </t>
  </si>
  <si>
    <t>AND</t>
  </si>
  <si>
    <t>TODAY()</t>
  </si>
  <si>
    <t>NOW()</t>
  </si>
  <si>
    <t xml:space="preserve"> DATEDIF()</t>
  </si>
  <si>
    <t>NO</t>
  </si>
  <si>
    <r>
      <t xml:space="preserve">              </t>
    </r>
    <r>
      <rPr>
        <b/>
        <sz val="12"/>
        <color theme="1"/>
        <rFont val="Calibri"/>
        <family val="2"/>
        <scheme val="minor"/>
      </rPr>
      <t xml:space="preserve">  STATISTICS FUNCTION</t>
    </r>
  </si>
  <si>
    <r>
      <t xml:space="preserve">                       </t>
    </r>
    <r>
      <rPr>
        <b/>
        <sz val="12"/>
        <color theme="1"/>
        <rFont val="Calibri"/>
        <family val="2"/>
        <scheme val="minor"/>
      </rPr>
      <t>TEXT FUNCTION</t>
    </r>
  </si>
  <si>
    <t xml:space="preserve">          MATHEMATICAL FUNCTION</t>
  </si>
  <si>
    <r>
      <t xml:space="preserve">                    </t>
    </r>
    <r>
      <rPr>
        <b/>
        <sz val="12"/>
        <color theme="1"/>
        <rFont val="Calibri"/>
        <family val="2"/>
        <scheme val="minor"/>
      </rPr>
      <t>LOOKUP FUNCTION</t>
    </r>
  </si>
  <si>
    <r>
      <t xml:space="preserve">                 </t>
    </r>
    <r>
      <rPr>
        <b/>
        <sz val="12"/>
        <color theme="1"/>
        <rFont val="Calibri"/>
        <family val="2"/>
        <scheme val="minor"/>
      </rPr>
      <t>LOGICAL FUNCTION</t>
    </r>
  </si>
  <si>
    <r>
      <t xml:space="preserve">                     </t>
    </r>
    <r>
      <rPr>
        <b/>
        <sz val="12"/>
        <color theme="1"/>
        <rFont val="Calibri"/>
        <family val="2"/>
        <scheme val="minor"/>
      </rPr>
      <t xml:space="preserve"> DATE FUNCTION</t>
    </r>
  </si>
  <si>
    <t xml:space="preserve">                 Finance_Data</t>
  </si>
  <si>
    <t xml:space="preserve">TOTAL REVENUE </t>
  </si>
  <si>
    <t>TOTAL PROFIT</t>
  </si>
  <si>
    <t>PROFIT MARGIN</t>
  </si>
  <si>
    <t xml:space="preserve">        DASHBOARD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</si>
</sst>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0" xfId="0" applyFill="1"/>
    <xf numFmtId="0" fontId="4" fillId="4" borderId="0" xfId="0" applyFont="1" applyFill="1"/>
    <xf numFmtId="0" fontId="5" fillId="4" borderId="0" xfId="0" applyFont="1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4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25400"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25400"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25400"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25400"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2242500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095-4E07-9FF6-1F408D6A3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759551"/>
        <c:axId val="2023759967"/>
      </c:lineChart>
      <c:catAx>
        <c:axId val="2023759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59967"/>
        <c:crosses val="autoZero"/>
        <c:auto val="1"/>
        <c:lblAlgn val="ctr"/>
        <c:lblOffset val="100"/>
        <c:noMultiLvlLbl val="0"/>
      </c:catAx>
      <c:valAx>
        <c:axId val="202375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5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3</xdr:col>
      <xdr:colOff>1339273</xdr:colOff>
      <xdr:row>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AF6071-4224-43CB-BAD7-D04478FB5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26748-309F-4279-BD09-F5140F37D95F}" name="Table1" displayName="Table1" ref="A2:D32" totalsRowShown="0" headerRowDxfId="42" dataDxfId="40" headerRowBorderDxfId="41" tableBorderDxfId="39" totalsRowBorderDxfId="38">
  <autoFilter ref="A2:D32" xr:uid="{CC226748-309F-4279-BD09-F5140F37D95F}">
    <filterColumn colId="0" hiddenButton="1"/>
    <filterColumn colId="1" hiddenButton="1"/>
    <filterColumn colId="2" hiddenButton="1"/>
    <filterColumn colId="3" hiddenButton="1"/>
  </autoFilter>
  <tableColumns count="4">
    <tableColumn id="1" xr3:uid="{2C9E3E3E-5347-400B-8C02-696CA210FDF3}" name="Revenue" dataDxfId="37"/>
    <tableColumn id="2" xr3:uid="{26E46F0F-EB47-4740-92AC-DCE6BD8314AF}" name="Expenses" dataDxfId="36"/>
    <tableColumn id="3" xr3:uid="{6D00EB31-D3C9-471D-B8D3-28670F884B83}" name="Profit" dataDxfId="35"/>
    <tableColumn id="4" xr3:uid="{048F5D6D-8FF2-4D5F-B36A-1BA09E314EB5}" name="Budget_vs_Actual" dataDxfId="3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9D9F46-8EC5-4CEC-8A2C-BCA29EE9EB0A}" name="Table6" displayName="Table6" ref="H9:H12" headerRowCount="0" totalsRowShown="0" headerRowDxfId="33" dataDxfId="32" tableBorderDxfId="31" totalsRowBorderDxfId="30">
  <tableColumns count="1">
    <tableColumn id="1" xr3:uid="{C54D62A8-7D89-4483-BD88-4B75AD0C302B}" name="Column1" dataDxfId="29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A85C36-CAA6-4D5C-BE8B-799BBDF08DBF}" name="Table7" displayName="Table7" ref="H2:H6" headerRowCount="0" totalsRowShown="0" headerRowDxfId="28" dataDxfId="27" tableBorderDxfId="26" totalsRowBorderDxfId="25">
  <tableColumns count="1">
    <tableColumn id="1" xr3:uid="{196B2075-3F41-4D25-A97A-9D9D51418914}" name="Column1" dataDxfId="24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D0DC49-0725-426E-A9C6-A88F9CB04F26}" name="Table9" displayName="Table9" ref="H15:H19" headerRowCount="0" totalsRowShown="0" headerRowDxfId="23" dataDxfId="22" tableBorderDxfId="21" totalsRowBorderDxfId="20">
  <tableColumns count="1">
    <tableColumn id="1" xr3:uid="{512F195A-0C0E-4E85-96C3-FE96F090173B}" name="Column1" dataDxfId="19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E4211A7-68E2-4217-B4A0-6258AF371B50}" name="Table11" displayName="Table11" ref="H22:H24" headerRowCount="0" totalsRowShown="0" headerRowDxfId="18" dataDxfId="17">
  <tableColumns count="1">
    <tableColumn id="1" xr3:uid="{D58D4579-2980-4432-94D2-4FAE7D831A07}" name="Column1" dataDxfId="16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22872A0-D0B9-49A2-9345-D0E6876BE8C6}" name="Table13" displayName="Table13" ref="H27:H29" headerRowCount="0" totalsRowShown="0" headerRowDxfId="15" dataDxfId="14" tableBorderDxfId="13" totalsRowBorderDxfId="12">
  <tableColumns count="1">
    <tableColumn id="1" xr3:uid="{D27ACC7B-67D0-4FC2-8BE5-0CCE20C26585}" name="Column1" dataDxfId="11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3CA360A-29A8-4FD5-8A47-1FA7AF657E2B}" name="Table14" displayName="Table14" ref="K9:K11" headerRowCount="0" totalsRowShown="0" headerRowDxfId="10">
  <tableColumns count="1">
    <tableColumn id="1" xr3:uid="{25F57D21-1797-4ACE-BDC0-30BF070721C9}" name="Column1" headerRowDxfId="9" dataDxfId="8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D5C542-8CF1-49B1-8DEE-832ED487A37A}" name="Table2" displayName="Table2" ref="J4:K6" headerRowCount="0" totalsRowShown="0" headerRowDxfId="7" headerRowBorderDxfId="6" tableBorderDxfId="5" totalsRowBorderDxfId="4">
  <tableColumns count="2">
    <tableColumn id="1" xr3:uid="{857E5330-9023-448B-B259-46F47CBBF42E}" name="Column1" headerRowDxfId="3" dataDxfId="2"/>
    <tableColumn id="2" xr3:uid="{EC1E3D6D-E4B7-4C73-A954-EE96E2ED459D}" name="Column2" headerRowDxfId="1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3" zoomScale="99" zoomScaleNormal="99" workbookViewId="0">
      <selection activeCell="A2" sqref="A2:D32"/>
    </sheetView>
  </sheetViews>
  <sheetFormatPr defaultRowHeight="14.4" x14ac:dyDescent="0.3"/>
  <cols>
    <col min="1" max="1" width="27.88671875" customWidth="1"/>
    <col min="2" max="2" width="21.6640625" customWidth="1"/>
    <col min="3" max="3" width="21.5546875" customWidth="1"/>
    <col min="4" max="4" width="20.109375" customWidth="1"/>
    <col min="7" max="7" width="20.5546875" customWidth="1"/>
    <col min="8" max="8" width="15.6640625" customWidth="1"/>
    <col min="10" max="10" width="16.77734375" customWidth="1"/>
    <col min="11" max="11" width="19.6640625" customWidth="1"/>
  </cols>
  <sheetData>
    <row r="1" spans="1:11" ht="18" x14ac:dyDescent="0.35">
      <c r="A1" s="19"/>
      <c r="B1" s="21" t="s">
        <v>34</v>
      </c>
      <c r="C1" s="19"/>
      <c r="D1" s="19"/>
      <c r="G1" s="20" t="s">
        <v>30</v>
      </c>
      <c r="H1" s="19"/>
    </row>
    <row r="2" spans="1:11" x14ac:dyDescent="0.3">
      <c r="A2" s="12" t="s">
        <v>0</v>
      </c>
      <c r="B2" s="13" t="s">
        <v>1</v>
      </c>
      <c r="C2" s="13" t="s">
        <v>2</v>
      </c>
      <c r="D2" s="14" t="s">
        <v>3</v>
      </c>
      <c r="G2" s="2" t="s">
        <v>16</v>
      </c>
      <c r="H2" s="3">
        <f>SUM(Table1[Budget_vs_Actual])</f>
        <v>112125</v>
      </c>
    </row>
    <row r="3" spans="1:11" ht="15.6" x14ac:dyDescent="0.3">
      <c r="A3" s="15">
        <v>53000</v>
      </c>
      <c r="B3" s="8">
        <v>32000</v>
      </c>
      <c r="C3" s="8">
        <v>21000</v>
      </c>
      <c r="D3" s="16">
        <v>2650</v>
      </c>
      <c r="G3" s="1" t="s">
        <v>17</v>
      </c>
      <c r="H3" s="4">
        <f>AVERAGE(Table1[Budget_vs_Actual])</f>
        <v>3737.5</v>
      </c>
      <c r="J3" s="20" t="s">
        <v>38</v>
      </c>
      <c r="K3" s="19"/>
    </row>
    <row r="4" spans="1:11" x14ac:dyDescent="0.3">
      <c r="A4" s="15">
        <v>54500</v>
      </c>
      <c r="B4" s="8">
        <v>33000</v>
      </c>
      <c r="C4" s="8">
        <v>21500</v>
      </c>
      <c r="D4" s="16">
        <v>2725</v>
      </c>
      <c r="G4" s="2" t="s">
        <v>18</v>
      </c>
      <c r="H4" s="4">
        <f>MIN(Table1[Budget_vs_Actual])</f>
        <v>2650</v>
      </c>
      <c r="J4" s="15" t="s">
        <v>35</v>
      </c>
      <c r="K4" s="16">
        <f>SUM(A:A)</f>
        <v>2242500</v>
      </c>
    </row>
    <row r="5" spans="1:11" x14ac:dyDescent="0.3">
      <c r="A5" s="15">
        <v>56000</v>
      </c>
      <c r="B5" s="8">
        <v>34000</v>
      </c>
      <c r="C5" s="8">
        <v>22000</v>
      </c>
      <c r="D5" s="16">
        <v>2800</v>
      </c>
      <c r="G5" s="1" t="s">
        <v>19</v>
      </c>
      <c r="H5" s="4">
        <f>MAX(Table1[Budget_vs_Actual])</f>
        <v>4825</v>
      </c>
      <c r="J5" s="15" t="s">
        <v>36</v>
      </c>
      <c r="K5" s="16">
        <f>SUM(C:C)</f>
        <v>847500</v>
      </c>
    </row>
    <row r="6" spans="1:11" x14ac:dyDescent="0.3">
      <c r="A6" s="15">
        <v>57500</v>
      </c>
      <c r="B6" s="8">
        <v>35000</v>
      </c>
      <c r="C6" s="8">
        <v>22500</v>
      </c>
      <c r="D6" s="16">
        <v>2875</v>
      </c>
      <c r="G6" s="2" t="s">
        <v>20</v>
      </c>
      <c r="H6" s="5">
        <f>COUNT(Table1[Budget_vs_Actual])</f>
        <v>30</v>
      </c>
      <c r="J6" s="17" t="s">
        <v>37</v>
      </c>
      <c r="K6" s="18">
        <f>(K5/K4)</f>
        <v>0.3779264214046823</v>
      </c>
    </row>
    <row r="7" spans="1:11" x14ac:dyDescent="0.3">
      <c r="A7" s="15">
        <v>59000</v>
      </c>
      <c r="B7" s="8">
        <v>36000</v>
      </c>
      <c r="C7" s="8">
        <v>23000</v>
      </c>
      <c r="D7" s="16">
        <v>2950</v>
      </c>
    </row>
    <row r="8" spans="1:11" ht="15.6" x14ac:dyDescent="0.3">
      <c r="A8" s="15">
        <v>60500</v>
      </c>
      <c r="B8" s="8">
        <v>37000</v>
      </c>
      <c r="C8" s="8">
        <v>23500</v>
      </c>
      <c r="D8" s="16">
        <v>3025</v>
      </c>
      <c r="G8" s="19" t="s">
        <v>29</v>
      </c>
      <c r="H8" s="19"/>
      <c r="J8" s="19" t="s">
        <v>33</v>
      </c>
      <c r="K8" s="19"/>
    </row>
    <row r="9" spans="1:11" x14ac:dyDescent="0.3">
      <c r="A9" s="15">
        <v>62000</v>
      </c>
      <c r="B9" s="8">
        <v>38000</v>
      </c>
      <c r="C9" s="8">
        <v>24000</v>
      </c>
      <c r="D9" s="16">
        <v>3100</v>
      </c>
      <c r="G9" s="2" t="s">
        <v>4</v>
      </c>
      <c r="H9" s="3" t="str">
        <f>LEFT(A3,3)</f>
        <v>530</v>
      </c>
      <c r="J9" s="2" t="s">
        <v>24</v>
      </c>
      <c r="K9" s="6">
        <f ca="1">TODAY()</f>
        <v>46072</v>
      </c>
    </row>
    <row r="10" spans="1:11" x14ac:dyDescent="0.3">
      <c r="A10" s="15">
        <v>63500</v>
      </c>
      <c r="B10" s="8">
        <v>39000</v>
      </c>
      <c r="C10" s="8">
        <v>24500</v>
      </c>
      <c r="D10" s="16">
        <v>3175</v>
      </c>
      <c r="G10" s="1" t="s">
        <v>5</v>
      </c>
      <c r="H10" s="4" t="str">
        <f>RIGHT(A3,2)</f>
        <v>00</v>
      </c>
      <c r="J10" s="1" t="s">
        <v>25</v>
      </c>
      <c r="K10" s="7">
        <f ca="1">NOW()</f>
        <v>46072.94347233796</v>
      </c>
    </row>
    <row r="11" spans="1:11" x14ac:dyDescent="0.3">
      <c r="A11" s="15">
        <v>65000</v>
      </c>
      <c r="B11" s="8">
        <v>40000</v>
      </c>
      <c r="C11" s="8">
        <v>25000</v>
      </c>
      <c r="D11" s="16">
        <v>3250</v>
      </c>
      <c r="G11" s="2" t="s">
        <v>6</v>
      </c>
      <c r="H11" s="4" t="str">
        <f>MID(A3,2,3)</f>
        <v>300</v>
      </c>
      <c r="J11" s="2" t="s">
        <v>26</v>
      </c>
      <c r="K11" s="8">
        <v>30</v>
      </c>
    </row>
    <row r="12" spans="1:11" x14ac:dyDescent="0.3">
      <c r="A12" s="15">
        <v>66500</v>
      </c>
      <c r="B12" s="8">
        <v>41000</v>
      </c>
      <c r="C12" s="8">
        <v>25500</v>
      </c>
      <c r="D12" s="16">
        <v>3325</v>
      </c>
      <c r="G12" s="1" t="s">
        <v>7</v>
      </c>
      <c r="H12" s="5" t="str">
        <f>_xlfn.CONCAT(A3,D3)</f>
        <v>530002650</v>
      </c>
    </row>
    <row r="13" spans="1:11" x14ac:dyDescent="0.3">
      <c r="A13" s="15">
        <v>68000</v>
      </c>
      <c r="B13" s="8">
        <v>42000</v>
      </c>
      <c r="C13" s="8">
        <v>26000</v>
      </c>
      <c r="D13" s="16">
        <v>3400</v>
      </c>
    </row>
    <row r="14" spans="1:11" ht="15.6" x14ac:dyDescent="0.3">
      <c r="A14" s="15">
        <v>69500</v>
      </c>
      <c r="B14" s="8">
        <v>43000</v>
      </c>
      <c r="C14" s="8">
        <v>26500</v>
      </c>
      <c r="D14" s="16">
        <v>3475</v>
      </c>
      <c r="G14" s="19" t="s">
        <v>28</v>
      </c>
      <c r="H14" s="19"/>
    </row>
    <row r="15" spans="1:11" x14ac:dyDescent="0.3">
      <c r="A15" s="15">
        <v>71000</v>
      </c>
      <c r="B15" s="8">
        <v>44000</v>
      </c>
      <c r="C15" s="8">
        <v>27000</v>
      </c>
      <c r="D15" s="16">
        <v>3550</v>
      </c>
      <c r="G15" s="22" t="s">
        <v>8</v>
      </c>
      <c r="H15" s="3">
        <f>AVERAGE(D3:D32)</f>
        <v>3737.5</v>
      </c>
    </row>
    <row r="16" spans="1:11" x14ac:dyDescent="0.3">
      <c r="A16" s="15">
        <v>72500</v>
      </c>
      <c r="B16" s="8">
        <v>45000</v>
      </c>
      <c r="C16" s="8">
        <v>27500</v>
      </c>
      <c r="D16" s="16">
        <v>3625</v>
      </c>
      <c r="G16" s="23" t="s">
        <v>9</v>
      </c>
      <c r="H16" s="4" t="s">
        <v>27</v>
      </c>
    </row>
    <row r="17" spans="1:8" x14ac:dyDescent="0.3">
      <c r="A17" s="15">
        <v>74000</v>
      </c>
      <c r="B17" s="8">
        <v>46000</v>
      </c>
      <c r="C17" s="8">
        <v>28000</v>
      </c>
      <c r="D17" s="16">
        <v>3700</v>
      </c>
      <c r="G17" s="22" t="s">
        <v>10</v>
      </c>
      <c r="H17" s="4">
        <f>MEDIAN(Table1[Budget_vs_Actual])</f>
        <v>3737.5</v>
      </c>
    </row>
    <row r="18" spans="1:8" x14ac:dyDescent="0.3">
      <c r="A18" s="15">
        <v>75500</v>
      </c>
      <c r="B18" s="8">
        <v>47000</v>
      </c>
      <c r="C18" s="8">
        <v>28500</v>
      </c>
      <c r="D18" s="16">
        <v>3775</v>
      </c>
      <c r="G18" s="23" t="s">
        <v>11</v>
      </c>
      <c r="H18" s="4">
        <f>_xlfn.STDEV.P(Table1[Budget_vs_Actual])</f>
        <v>649.15810862993919</v>
      </c>
    </row>
    <row r="19" spans="1:8" x14ac:dyDescent="0.3">
      <c r="A19" s="15">
        <v>77000</v>
      </c>
      <c r="B19" s="8">
        <v>48000</v>
      </c>
      <c r="C19" s="8">
        <v>29000</v>
      </c>
      <c r="D19" s="16">
        <v>3850</v>
      </c>
      <c r="G19" s="22" t="s">
        <v>12</v>
      </c>
      <c r="H19" s="5">
        <f>CORREL(B:B,C:C)</f>
        <v>1.0000000000000002</v>
      </c>
    </row>
    <row r="20" spans="1:8" x14ac:dyDescent="0.3">
      <c r="A20" s="15">
        <v>78500</v>
      </c>
      <c r="B20" s="8">
        <v>49000</v>
      </c>
      <c r="C20" s="8">
        <v>29500</v>
      </c>
      <c r="D20" s="16">
        <v>3925</v>
      </c>
    </row>
    <row r="21" spans="1:8" ht="15.6" x14ac:dyDescent="0.3">
      <c r="A21" s="15">
        <v>80000</v>
      </c>
      <c r="B21" s="8">
        <v>50000</v>
      </c>
      <c r="C21" s="8">
        <v>30000</v>
      </c>
      <c r="D21" s="16">
        <v>4000</v>
      </c>
      <c r="G21" s="19" t="s">
        <v>31</v>
      </c>
      <c r="H21" s="19"/>
    </row>
    <row r="22" spans="1:8" x14ac:dyDescent="0.3">
      <c r="A22" s="15">
        <v>81500</v>
      </c>
      <c r="B22" s="8">
        <v>51000</v>
      </c>
      <c r="C22" s="8">
        <v>30500</v>
      </c>
      <c r="D22" s="16">
        <v>4075</v>
      </c>
      <c r="G22" s="2" t="s">
        <v>13</v>
      </c>
      <c r="H22" s="8">
        <f>VLOOKUP(A3,A3:D32,3,FALSE)</f>
        <v>21000</v>
      </c>
    </row>
    <row r="23" spans="1:8" x14ac:dyDescent="0.3">
      <c r="A23" s="15">
        <v>83000</v>
      </c>
      <c r="B23" s="8">
        <v>52000</v>
      </c>
      <c r="C23" s="8">
        <v>31000</v>
      </c>
      <c r="D23" s="16">
        <v>4150</v>
      </c>
      <c r="G23" s="1" t="s">
        <v>14</v>
      </c>
      <c r="H23" s="8">
        <f>HLOOKUP(A3,A3:D32,2,FALSE)</f>
        <v>54500</v>
      </c>
    </row>
    <row r="24" spans="1:8" x14ac:dyDescent="0.3">
      <c r="A24" s="15">
        <v>84500</v>
      </c>
      <c r="B24" s="8">
        <v>53000</v>
      </c>
      <c r="C24" s="8">
        <v>31500</v>
      </c>
      <c r="D24" s="16">
        <v>4225</v>
      </c>
      <c r="G24" s="2" t="s">
        <v>15</v>
      </c>
      <c r="H24" s="8">
        <f>VLOOKUP(A4,A3:D32,4,FALSE)</f>
        <v>2725</v>
      </c>
    </row>
    <row r="25" spans="1:8" x14ac:dyDescent="0.3">
      <c r="A25" s="15">
        <v>86000</v>
      </c>
      <c r="B25" s="8">
        <v>54000</v>
      </c>
      <c r="C25" s="8">
        <v>32000</v>
      </c>
      <c r="D25" s="16">
        <v>4300</v>
      </c>
    </row>
    <row r="26" spans="1:8" ht="15.6" x14ac:dyDescent="0.3">
      <c r="A26" s="15">
        <v>87500</v>
      </c>
      <c r="B26" s="8">
        <v>55000</v>
      </c>
      <c r="C26" s="8">
        <v>32500</v>
      </c>
      <c r="D26" s="16">
        <v>4375</v>
      </c>
      <c r="G26" s="19" t="s">
        <v>32</v>
      </c>
      <c r="H26" s="19"/>
    </row>
    <row r="27" spans="1:8" x14ac:dyDescent="0.3">
      <c r="A27" s="15">
        <v>89000</v>
      </c>
      <c r="B27" s="8">
        <v>56000</v>
      </c>
      <c r="C27" s="8">
        <v>33000</v>
      </c>
      <c r="D27" s="16">
        <v>4450</v>
      </c>
      <c r="G27" s="10" t="s">
        <v>21</v>
      </c>
      <c r="H27" s="3" t="str">
        <f>IF(D3&gt;2500,"MINIMUM")</f>
        <v>MINIMUM</v>
      </c>
    </row>
    <row r="28" spans="1:8" x14ac:dyDescent="0.3">
      <c r="A28" s="15">
        <v>90500</v>
      </c>
      <c r="B28" s="8">
        <v>57000</v>
      </c>
      <c r="C28" s="8">
        <v>33500</v>
      </c>
      <c r="D28" s="16">
        <v>4525</v>
      </c>
      <c r="G28" s="11" t="s">
        <v>22</v>
      </c>
      <c r="H28" s="4" t="b">
        <f>OR(D3&gt;3000,"TURE")</f>
        <v>0</v>
      </c>
    </row>
    <row r="29" spans="1:8" x14ac:dyDescent="0.3">
      <c r="A29" s="15">
        <v>92000</v>
      </c>
      <c r="B29" s="8">
        <v>58000</v>
      </c>
      <c r="C29" s="8">
        <v>34000</v>
      </c>
      <c r="D29" s="16">
        <v>4600</v>
      </c>
      <c r="G29" s="10" t="s">
        <v>23</v>
      </c>
      <c r="H29" s="5" t="b">
        <f>AND(D3&gt;2500,"TURE")</f>
        <v>1</v>
      </c>
    </row>
    <row r="30" spans="1:8" x14ac:dyDescent="0.3">
      <c r="A30" s="15">
        <v>93500</v>
      </c>
      <c r="B30" s="8">
        <v>59000</v>
      </c>
      <c r="C30" s="8">
        <v>34500</v>
      </c>
      <c r="D30" s="16">
        <v>4675</v>
      </c>
    </row>
    <row r="31" spans="1:8" x14ac:dyDescent="0.3">
      <c r="A31" s="15">
        <v>95000</v>
      </c>
      <c r="B31" s="8">
        <v>60000</v>
      </c>
      <c r="C31" s="8">
        <v>35000</v>
      </c>
      <c r="D31" s="16">
        <v>4750</v>
      </c>
    </row>
    <row r="32" spans="1:8" x14ac:dyDescent="0.3">
      <c r="A32" s="17">
        <v>96500</v>
      </c>
      <c r="B32" s="9">
        <v>61000</v>
      </c>
      <c r="C32" s="9">
        <v>35500</v>
      </c>
      <c r="D32" s="18">
        <v>4825</v>
      </c>
    </row>
  </sheetData>
  <pageMargins left="0.75" right="0.75" top="1" bottom="1" header="0.5" footer="0.5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adya yawalikar</cp:lastModifiedBy>
  <dcterms:created xsi:type="dcterms:W3CDTF">2026-02-16T10:22:50Z</dcterms:created>
  <dcterms:modified xsi:type="dcterms:W3CDTF">2026-02-19T17:08:43Z</dcterms:modified>
</cp:coreProperties>
</file>