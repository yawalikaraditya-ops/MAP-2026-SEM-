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9AA309D8-C95F-4938-BE6E-7C097BA3B7BA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heet1" sheetId="1" r:id="rId1"/>
    <sheet name="Sheet3" sheetId="3" r:id="rId2"/>
    <sheet name="Sheet4" sheetId="4" r:id="rId3"/>
    <sheet name="Sheet2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4" i="2"/>
  <c r="BW9" i="1"/>
  <c r="BW10" i="1"/>
  <c r="BX10" i="1" s="1"/>
  <c r="BW11" i="1"/>
  <c r="BW12" i="1"/>
  <c r="BW13" i="1"/>
  <c r="BW14" i="1"/>
  <c r="BW15" i="1"/>
  <c r="BW16" i="1"/>
  <c r="BR12" i="1"/>
  <c r="BR13" i="1"/>
  <c r="BR14" i="1"/>
  <c r="BR15" i="1"/>
  <c r="BR16" i="1"/>
  <c r="BR11" i="1"/>
  <c r="BU9" i="1"/>
  <c r="BX9" i="1" s="1"/>
  <c r="BU10" i="1"/>
  <c r="BU11" i="1"/>
  <c r="BU12" i="1"/>
  <c r="BU13" i="1"/>
  <c r="BX13" i="1" s="1"/>
  <c r="BU14" i="1"/>
  <c r="BX14" i="1" s="1"/>
  <c r="BU15" i="1"/>
  <c r="BX15" i="1" s="1"/>
  <c r="BU16" i="1"/>
  <c r="BV8" i="1"/>
  <c r="BW8" i="1" s="1"/>
  <c r="BX8" i="1" s="1"/>
  <c r="BU8" i="1"/>
  <c r="C25" i="2" l="1"/>
  <c r="C24" i="2"/>
  <c r="BX12" i="1"/>
  <c r="BX11" i="1"/>
  <c r="BX16" i="1"/>
</calcChain>
</file>

<file path=xl/sharedStrings.xml><?xml version="1.0" encoding="utf-8"?>
<sst xmlns="http://schemas.openxmlformats.org/spreadsheetml/2006/main" count="95" uniqueCount="76">
  <si>
    <t>SL. NO</t>
  </si>
  <si>
    <t>ITEM</t>
  </si>
  <si>
    <t>PURCHASE</t>
  </si>
  <si>
    <t>QUANTITY</t>
  </si>
  <si>
    <t xml:space="preserve">RATE </t>
  </si>
  <si>
    <t>AMOUNT</t>
  </si>
  <si>
    <t>SALE</t>
  </si>
  <si>
    <t>RATE</t>
  </si>
  <si>
    <t>CLOSING STOCK</t>
  </si>
  <si>
    <t>PROFIT / LOSS</t>
  </si>
  <si>
    <t>MOUSE</t>
  </si>
  <si>
    <t>KEY</t>
  </si>
  <si>
    <t>BOAT</t>
  </si>
  <si>
    <t>BOAED</t>
  </si>
  <si>
    <t>SSD</t>
  </si>
  <si>
    <t>NIC</t>
  </si>
  <si>
    <t>HDD</t>
  </si>
  <si>
    <t>VRS</t>
  </si>
  <si>
    <t>USB</t>
  </si>
  <si>
    <t xml:space="preserve">Inventory control &amp; supply chain analysis </t>
  </si>
  <si>
    <t>Product 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</si>
  <si>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</si>
  <si>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</si>
  <si>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</si>
  <si>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</si>
  <si>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</si>
  <si>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</si>
  <si>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</si>
  <si>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</si>
  <si>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</si>
  <si>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</si>
  <si>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</si>
  <si>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</si>
  <si>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</si>
  <si>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</si>
  <si>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</si>
  <si>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Laptop</t>
  </si>
  <si>
    <t>Smartphone</t>
  </si>
  <si>
    <t>Headphones</t>
  </si>
  <si>
    <t>LED TV</t>
  </si>
  <si>
    <t>Bluetooth Speaker</t>
  </si>
  <si>
    <t>T-Shirt</t>
  </si>
  <si>
    <t>Jeans</t>
  </si>
  <si>
    <t>Jacket</t>
  </si>
  <si>
    <t>Sports Shoes</t>
  </si>
  <si>
    <t>Cap</t>
  </si>
  <si>
    <t>Wall Clock</t>
  </si>
  <si>
    <t>Table Lamp</t>
  </si>
  <si>
    <t>Cushion Cover</t>
  </si>
  <si>
    <t>Flower Vase</t>
  </si>
  <si>
    <t>Photo Frame</t>
  </si>
  <si>
    <t>Electronics</t>
  </si>
  <si>
    <t>Apparel</t>
  </si>
  <si>
    <t>Home Decor</t>
  </si>
  <si>
    <t>Product Name</t>
  </si>
  <si>
    <t>Category</t>
  </si>
  <si>
    <t>Opening Stock</t>
  </si>
  <si>
    <t xml:space="preserve">Unit sold </t>
  </si>
  <si>
    <t>Reorder Level</t>
  </si>
  <si>
    <t>Closing Stock</t>
  </si>
  <si>
    <t xml:space="preserve">Inventory Stock </t>
  </si>
  <si>
    <t xml:space="preserve">Purchase per unit </t>
  </si>
  <si>
    <t xml:space="preserve">Total Inventory Value </t>
  </si>
  <si>
    <t>Calculate</t>
  </si>
  <si>
    <t>Average Stock Level</t>
  </si>
  <si>
    <t xml:space="preserve">Number Of Item below </t>
  </si>
  <si>
    <t>Reorder level</t>
  </si>
  <si>
    <t xml:space="preserve">Sum of Unit sold </t>
  </si>
  <si>
    <t>Grand Total</t>
  </si>
  <si>
    <t>Sum of Opening Stock</t>
  </si>
  <si>
    <t>Values</t>
  </si>
  <si>
    <t>Row Labels</t>
  </si>
  <si>
    <t>Count of Category</t>
  </si>
  <si>
    <t xml:space="preserve">     Inventory Metrics </t>
  </si>
  <si>
    <t xml:space="preserve">         Inventory Control &amp; Supply Chain Analysis </t>
  </si>
  <si>
    <t xml:space="preserve">         Sheet Setup &amp; Data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</si>
</sst>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0"/>
      <color theme="1"/>
      <name val="Arial Black"/>
      <family val="2"/>
    </font>
    <font>
      <sz val="18"/>
      <color theme="1"/>
      <name val="Algerian"/>
      <family val="5"/>
    </font>
    <font>
      <sz val="20"/>
      <color theme="1"/>
      <name val="Bahnschrift Condensed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/>
    </xf>
    <xf numFmtId="0" fontId="3" fillId="0" borderId="1" xfId="0" applyFont="1" applyBorder="1"/>
    <xf numFmtId="0" fontId="0" fillId="5" borderId="8" xfId="0" applyFill="1" applyBorder="1"/>
    <xf numFmtId="0" fontId="0" fillId="6" borderId="9" xfId="0" applyFill="1" applyBorder="1"/>
    <xf numFmtId="0" fontId="0" fillId="6" borderId="8" xfId="0" applyFill="1" applyBorder="1"/>
    <xf numFmtId="0" fontId="0" fillId="7" borderId="8" xfId="0" applyFill="1" applyBorder="1"/>
    <xf numFmtId="0" fontId="2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4" fontId="0" fillId="0" borderId="8" xfId="0" applyNumberFormat="1" applyBorder="1"/>
    <xf numFmtId="2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11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9" fillId="0" borderId="0" xfId="0" applyFont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4" fontId="0" fillId="0" borderId="8" xfId="0" applyNumberFormat="1" applyBorder="1" applyAlignment="1">
      <alignment horizontal="center"/>
    </xf>
    <xf numFmtId="0" fontId="5" fillId="4" borderId="1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0" fillId="2" borderId="0" xfId="0" applyFill="1"/>
    <xf numFmtId="0" fontId="7" fillId="2" borderId="0" xfId="0" applyFont="1" applyFill="1"/>
    <xf numFmtId="0" fontId="0" fillId="2" borderId="0" xfId="0" applyFill="1" applyAlignment="1">
      <alignment horizontal="center"/>
    </xf>
    <xf numFmtId="0" fontId="8" fillId="2" borderId="0" xfId="0" applyFont="1" applyFill="1"/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5" formatCode="0.00E+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[Aditya yawalikar Assignment -05.xlsx]Sheet4!PivotTable2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</a:t>
            </a:r>
            <a:r>
              <a:rPr lang="en-US" baseline="0"/>
              <a:t> value by catagory</a:t>
            </a:r>
            <a:endParaRPr lang="en-US"/>
          </a:p>
        </c:rich>
      </c:tx>
      <c:layout>
        <c:manualLayout>
          <c:xMode val="edge"/>
          <c:yMode val="edge"/>
          <c:x val="0.26678933059103854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1E8-4A45-886C-714074E2AA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1E8-4A45-886C-714074E2AA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1E8-4A45-886C-714074E2AA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81E8-4A45-886C-714074E2AA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81E8-4A45-886C-714074E2AA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81E8-4A45-886C-714074E2AA3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81E8-4A45-886C-714074E2AA3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81E8-4A45-886C-714074E2AA3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81E8-4A45-886C-714074E2AA3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81E8-4A45-886C-714074E2AA3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81E8-4A45-886C-714074E2AA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Sheet4!$A$5:$A$16</c:f>
              <c:strCache>
                <c:ptCount val="11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2500</c:v>
                </c:pt>
                <c:pt idx="4">
                  <c:v>2800</c:v>
                </c:pt>
                <c:pt idx="5">
                  <c:v>3000</c:v>
                </c:pt>
                <c:pt idx="6">
                  <c:v>4000</c:v>
                </c:pt>
                <c:pt idx="7">
                  <c:v>6000</c:v>
                </c:pt>
                <c:pt idx="8">
                  <c:v>9000</c:v>
                </c:pt>
                <c:pt idx="9">
                  <c:v>20000</c:v>
                </c:pt>
                <c:pt idx="10">
                  <c:v>25000</c:v>
                </c:pt>
              </c:strCache>
            </c:strRef>
          </c:cat>
          <c:val>
            <c:numRef>
              <c:f>Sheet4!$B$5:$B$16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71-42DA-8328-795B93ADA91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[Aditya yawalikar Assignment -05.xlsx]Sheet3!PivotTable1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Stock  vs  sales       </a:t>
            </a:r>
            <a:endParaRPr lang="en-US"/>
          </a:p>
        </c:rich>
      </c:tx>
      <c:layout>
        <c:manualLayout>
          <c:xMode val="edge"/>
          <c:yMode val="edge"/>
          <c:x val="0.43073984274353366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Sheet3!$A$4:$A$5</c:f>
              <c:strCache>
                <c:ptCount val="2"/>
                <c:pt idx="0">
                  <c:v>Sum of Opening Stock</c:v>
                </c:pt>
                <c:pt idx="1">
                  <c:v>Sum of Unit sold </c:v>
                </c:pt>
              </c:strCache>
            </c:strRef>
          </c:cat>
          <c:val>
            <c:numRef>
              <c:f>Sheet3!$B$4:$B$5</c:f>
              <c:numCache>
                <c:formatCode>General</c:formatCode>
                <c:ptCount val="2"/>
                <c:pt idx="0">
                  <c:v>2091</c:v>
                </c:pt>
                <c:pt idx="1">
                  <c:v>1746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9-4CB2-A14F-4B73DA5B0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417519"/>
        <c:axId val="138417935"/>
        <c:axId val="0"/>
      </c:bar3DChart>
      <c:catAx>
        <c:axId val="13841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17935"/>
        <c:crosses val="autoZero"/>
        <c:auto val="1"/>
        <c:lblAlgn val="ctr"/>
        <c:lblOffset val="100"/>
        <c:noMultiLvlLbl val="0"/>
      </c:catAx>
      <c:valAx>
        <c:axId val="13841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1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[Aditya yawalikar Assignment -05.xlsx]Sheet4!PivotTable2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</a:t>
            </a:r>
            <a:r>
              <a:rPr lang="en-US" baseline="0"/>
              <a:t> value by catagory</a:t>
            </a:r>
            <a:endParaRPr lang="en-US"/>
          </a:p>
        </c:rich>
      </c:tx>
      <c:layout>
        <c:manualLayout>
          <c:xMode val="edge"/>
          <c:yMode val="edge"/>
          <c:x val="0.26678933059103854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423-4388-AE21-0F1F6E215F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423-4388-AE21-0F1F6E215F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423-4388-AE21-0F1F6E215F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F423-4388-AE21-0F1F6E215F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F423-4388-AE21-0F1F6E215F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F423-4388-AE21-0F1F6E215F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F423-4388-AE21-0F1F6E215F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F423-4388-AE21-0F1F6E215F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F423-4388-AE21-0F1F6E215F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F423-4388-AE21-0F1F6E215F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F423-4388-AE21-0F1F6E215F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Sheet4!$A$5:$A$16</c:f>
              <c:strCache>
                <c:ptCount val="11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2500</c:v>
                </c:pt>
                <c:pt idx="4">
                  <c:v>2800</c:v>
                </c:pt>
                <c:pt idx="5">
                  <c:v>3000</c:v>
                </c:pt>
                <c:pt idx="6">
                  <c:v>4000</c:v>
                </c:pt>
                <c:pt idx="7">
                  <c:v>6000</c:v>
                </c:pt>
                <c:pt idx="8">
                  <c:v>9000</c:v>
                </c:pt>
                <c:pt idx="9">
                  <c:v>20000</c:v>
                </c:pt>
                <c:pt idx="10">
                  <c:v>25000</c:v>
                </c:pt>
              </c:strCache>
            </c:strRef>
          </c:cat>
          <c:val>
            <c:numRef>
              <c:f>Sheet4!$B$5:$B$16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423-4388-AE21-0F1F6E215FC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834572</xdr:colOff>
      <xdr:row>10</xdr:row>
      <xdr:rowOff>175078</xdr:rowOff>
    </xdr:from>
    <xdr:to>
      <xdr:col>15</xdr:col>
      <xdr:colOff>45357</xdr:colOff>
      <xdr:row>26</xdr:row>
      <xdr:rowOff>15421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D72808-9F1B-4E6F-A5C0-0995CC1D7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7</xdr:row>
      <xdr:rowOff>156210</xdr:rowOff>
    </xdr:from>
    <xdr:to>
      <xdr:col>10</xdr:col>
      <xdr:colOff>487680</xdr:colOff>
      <xdr:row>22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D8A91-E5EC-45E2-A283-22A8505BA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164353</xdr:colOff>
      <xdr:row>2</xdr:row>
      <xdr:rowOff>112060</xdr:rowOff>
    </xdr:from>
    <xdr:to>
      <xdr:col>14</xdr:col>
      <xdr:colOff>560295</xdr:colOff>
      <xdr:row>17</xdr:row>
      <xdr:rowOff>165848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A28C6D-B631-48AF-AEFA-EFA3B027B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10</xdr:col>
      <xdr:colOff>141941</xdr:colOff>
      <xdr:row>35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8EF6DC-72DA-4A62-B388-D25F6DE5F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9.393096643522" createdVersion="7" refreshedVersion="7" minRefreshableVersion="3" recordCount="15" xr:uid="{BE15A209-7BBC-4DD2-B071-75784C489A6F}">
  <cacheSource type="worksheet">
    <worksheetSource name="Table1"/>
  </cacheSource>
  <cacheFields count="9">
    <cacheField name="Product ID" numFmtId="0">
      <sharedItems/>
    </cacheField>
    <cacheField name="Product Name" numFmtId="11">
      <sharedItems/>
    </cacheField>
    <cacheField name="Category" numFmtId="0">
      <sharedItems count="3">
        <s v="Electronics"/>
        <s v="Apparel"/>
        <s v="Home Decor"/>
      </sharedItems>
    </cacheField>
    <cacheField name="Opening Stock" numFmtId="0">
      <sharedItems containsSemiMixedTypes="0" containsString="0" containsNumber="1" containsInteger="1" minValue="50" maxValue="220" count="13">
        <n v="200"/>
        <n v="120"/>
        <n v="80"/>
        <n v="60"/>
        <n v="180"/>
        <n v="70"/>
        <n v="50"/>
        <n v="220"/>
        <n v="160"/>
        <n v="170"/>
        <n v="140"/>
        <n v="155"/>
        <n v="166"/>
      </sharedItems>
    </cacheField>
    <cacheField name="Unit sold " numFmtId="0">
      <sharedItems containsSemiMixedTypes="0" containsString="0" containsNumber="1" containsInteger="1" minValue="40" maxValue="200" count="11">
        <n v="150"/>
        <n v="60"/>
        <n v="55"/>
        <n v="180"/>
        <n v="170"/>
        <n v="50"/>
        <n v="40"/>
        <n v="100"/>
        <n v="200"/>
        <n v="140"/>
        <n v="141"/>
      </sharedItems>
    </cacheField>
    <cacheField name="Purchase per unit " numFmtId="0">
      <sharedItems containsSemiMixedTypes="0" containsString="0" containsNumber="1" containsInteger="1" minValue="100" maxValue="600"/>
    </cacheField>
    <cacheField name="Reorder Level" numFmtId="0">
      <sharedItems containsSemiMixedTypes="0" containsString="0" containsNumber="1" containsInteger="1" minValue="5" maxValue="70"/>
    </cacheField>
    <cacheField name="Closing Stock" numFmtId="0">
      <sharedItems containsSemiMixedTypes="0" containsString="0" containsNumber="1" containsInteger="1" minValue="5" maxValue="60"/>
    </cacheField>
    <cacheField name="Inventory Stock " numFmtId="0">
      <sharedItems containsSemiMixedTypes="0" containsString="0" containsNumber="1" containsInteger="1" minValue="500" maxValue="25000" count="11">
        <n v="25000"/>
        <n v="6000"/>
        <n v="3000"/>
        <n v="1000"/>
        <n v="2500"/>
        <n v="2000"/>
        <n v="4000"/>
        <n v="2800"/>
        <n v="9000"/>
        <n v="20000"/>
        <n v="5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P001"/>
    <s v="Laptop"/>
    <x v="0"/>
    <x v="0"/>
    <x v="0"/>
    <n v="500"/>
    <n v="50"/>
    <n v="50"/>
    <x v="0"/>
  </r>
  <r>
    <s v="P002"/>
    <s v="Smartphone"/>
    <x v="0"/>
    <x v="1"/>
    <x v="1"/>
    <n v="100"/>
    <n v="30"/>
    <n v="60"/>
    <x v="1"/>
  </r>
  <r>
    <s v="P003"/>
    <s v="Headphones"/>
    <x v="0"/>
    <x v="2"/>
    <x v="1"/>
    <n v="150"/>
    <n v="20"/>
    <n v="20"/>
    <x v="2"/>
  </r>
  <r>
    <s v="P004"/>
    <s v="LED TV"/>
    <x v="0"/>
    <x v="3"/>
    <x v="2"/>
    <n v="200"/>
    <n v="10"/>
    <n v="5"/>
    <x v="3"/>
  </r>
  <r>
    <s v="P005"/>
    <s v="Bluetooth Speaker"/>
    <x v="0"/>
    <x v="0"/>
    <x v="3"/>
    <n v="300"/>
    <n v="35"/>
    <n v="20"/>
    <x v="1"/>
  </r>
  <r>
    <s v="P006"/>
    <s v="T-Shirt"/>
    <x v="1"/>
    <x v="4"/>
    <x v="4"/>
    <n v="250"/>
    <n v="40"/>
    <n v="10"/>
    <x v="4"/>
  </r>
  <r>
    <s v="P007"/>
    <s v="Jeans"/>
    <x v="1"/>
    <x v="5"/>
    <x v="5"/>
    <n v="100"/>
    <n v="18"/>
    <n v="20"/>
    <x v="5"/>
  </r>
  <r>
    <s v="P008"/>
    <s v="Jacket"/>
    <x v="1"/>
    <x v="6"/>
    <x v="6"/>
    <n v="600"/>
    <n v="5"/>
    <n v="10"/>
    <x v="1"/>
  </r>
  <r>
    <s v="P009"/>
    <s v="Sports Shoes"/>
    <x v="1"/>
    <x v="1"/>
    <x v="7"/>
    <n v="200"/>
    <n v="30"/>
    <n v="20"/>
    <x v="6"/>
  </r>
  <r>
    <s v="P010"/>
    <s v="Cap"/>
    <x v="1"/>
    <x v="7"/>
    <x v="8"/>
    <n v="140"/>
    <n v="70"/>
    <n v="20"/>
    <x v="7"/>
  </r>
  <r>
    <s v="P011"/>
    <s v="Wall Clock"/>
    <x v="2"/>
    <x v="8"/>
    <x v="0"/>
    <n v="200"/>
    <n v="45"/>
    <n v="10"/>
    <x v="5"/>
  </r>
  <r>
    <s v="P012"/>
    <s v="Table Lamp"/>
    <x v="2"/>
    <x v="9"/>
    <x v="9"/>
    <n v="300"/>
    <n v="55"/>
    <n v="30"/>
    <x v="8"/>
  </r>
  <r>
    <s v="P013"/>
    <s v="Cushion Cover"/>
    <x v="2"/>
    <x v="10"/>
    <x v="7"/>
    <n v="500"/>
    <n v="48"/>
    <n v="40"/>
    <x v="9"/>
  </r>
  <r>
    <s v="P014"/>
    <s v="Flower Vase"/>
    <x v="2"/>
    <x v="11"/>
    <x v="0"/>
    <n v="100"/>
    <n v="38"/>
    <n v="5"/>
    <x v="10"/>
  </r>
  <r>
    <s v="P015"/>
    <s v="Photo Frame"/>
    <x v="2"/>
    <x v="12"/>
    <x v="10"/>
    <n v="200"/>
    <n v="33"/>
    <n v="1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CA251-038E-477C-88BB-FAD09F4EECC9}" name="PivotTable1" cacheId="0" dataOnRows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5" firstHeaderRow="1" firstDataRow="1" firstDataCol="1"/>
  <pivotFields count="9">
    <pivotField showAll="0"/>
    <pivotField showAll="0"/>
    <pivotField showAll="0"/>
    <pivotField dataField="1" showAll="0">
      <items count="14">
        <item x="6"/>
        <item x="3"/>
        <item x="5"/>
        <item x="2"/>
        <item x="1"/>
        <item x="10"/>
        <item x="11"/>
        <item x="8"/>
        <item x="12"/>
        <item x="9"/>
        <item x="4"/>
        <item x="0"/>
        <item x="7"/>
        <item t="default"/>
      </items>
    </pivotField>
    <pivotField dataField="1" showAll="0">
      <items count="12">
        <item x="6"/>
        <item x="5"/>
        <item x="2"/>
        <item x="1"/>
        <item x="7"/>
        <item x="9"/>
        <item x="10"/>
        <item x="0"/>
        <item x="4"/>
        <item x="3"/>
        <item x="8"/>
        <item t="default"/>
      </items>
    </pivotField>
    <pivotField showAll="0"/>
    <pivotField showAll="0"/>
    <pivotField showAll="0"/>
    <pivotField showAll="0">
      <items count="12">
        <item x="10"/>
        <item x="3"/>
        <item x="5"/>
        <item x="4"/>
        <item x="7"/>
        <item x="2"/>
        <item x="6"/>
        <item x="1"/>
        <item x="8"/>
        <item x="9"/>
        <item x="0"/>
        <item t="default"/>
      </items>
    </pivotField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Opening Stock" fld="3" baseField="0" baseItem="0"/>
    <dataField name="Sum of Unit sold 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F6EB0-8543-4BAC-8416-B246B12582F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4:B16" firstHeaderRow="1" firstDataRow="1" firstDataCol="1"/>
  <pivotFields count="9">
    <pivotField showAll="0"/>
    <pivotField showAll="0"/>
    <pivotField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10"/>
        <item x="3"/>
        <item x="5"/>
        <item x="4"/>
        <item x="7"/>
        <item x="2"/>
        <item x="6"/>
        <item x="1"/>
        <item x="8"/>
        <item x="9"/>
        <item x="0"/>
        <item t="default"/>
      </items>
    </pivotField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ategory" fld="2" subtotal="count" baseField="0" baseItem="0"/>
  </dataFields>
  <chartFormats count="36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6A43D-4695-44E1-ABC3-28C1D78314F7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E21:F33" firstHeaderRow="1" firstDataRow="1" firstDataCol="1"/>
  <pivotFields count="9">
    <pivotField showAll="0"/>
    <pivotField showAll="0"/>
    <pivotField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10"/>
        <item x="3"/>
        <item x="5"/>
        <item x="4"/>
        <item x="7"/>
        <item x="2"/>
        <item x="6"/>
        <item x="1"/>
        <item x="8"/>
        <item x="9"/>
        <item x="0"/>
        <item t="default"/>
      </items>
    </pivotField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ategory" fld="2" subtotal="count" baseField="0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8" type="button" dataOnly="0" labelOnly="1" outline="0" axis="axisRow" fieldPosition="0"/>
    </format>
    <format dxfId="16">
      <pivotArea dataOnly="0" labelOnly="1" fieldPosition="0">
        <references count="1">
          <reference field="8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1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519083-312E-4E81-B370-4668200322A1}" name="Table1" displayName="Table1" ref="A3:I18" totalsRowShown="0" headerRowDxfId="13" dataDxfId="11" headerRowBorderDxfId="12" tableBorderDxfId="10" totalsRowBorderDxfId="9">
  <autoFilter ref="A3:I18" xr:uid="{EF519083-312E-4E81-B370-4668200322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E0165B5-C847-4FDF-9620-C996C47BA777}" name="Product ID" dataDxfId="8"/>
    <tableColumn id="2" xr3:uid="{BE5CA1FD-A44E-4778-85E8-EE01C59B97C2}" name="Product Name" dataDxfId="7"/>
    <tableColumn id="3" xr3:uid="{575178F0-738C-466C-BFAE-B1682E672D43}" name="Category" dataDxfId="6"/>
    <tableColumn id="4" xr3:uid="{3D6EA76B-3490-4239-B4C9-A857A0B7F484}" name="Opening Stock" dataDxfId="5"/>
    <tableColumn id="5" xr3:uid="{6AA9BA9B-05D9-477A-BC98-80893AE4D2AA}" name="Unit sold " dataDxfId="4"/>
    <tableColumn id="6" xr3:uid="{A211B882-E042-4276-B7C1-72E7C394A629}" name="Purchase per unit " dataDxfId="3"/>
    <tableColumn id="7" xr3:uid="{2A0C4F95-51CC-41F7-BAB1-1199A2B1A826}" name="Reorder Level" dataDxfId="2"/>
    <tableColumn id="8" xr3:uid="{2442D010-E78C-44FA-B44E-08165A12617E}" name="Closing Stock" dataDxfId="1"/>
    <tableColumn id="9" xr3:uid="{FF223201-F447-4340-ADB5-4BFAC23D97A6}" name="Inventory Stock " dataDxfId="0">
      <calculatedColumnFormula>SUM(F4*H4)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4:CB16"/>
  <sheetViews>
    <sheetView topLeftCell="BK1" zoomScale="110" zoomScaleNormal="85" workbookViewId="0">
      <selection activeCell="BM13" sqref="BM13"/>
    </sheetView>
  </sheetViews>
  <sheetFormatPr defaultRowHeight="14.4" x14ac:dyDescent="0.3"/>
  <cols>
    <col min="68" max="68" width="9.44140625" customWidth="1"/>
    <col min="70" max="70" width="10.21875" bestFit="1" customWidth="1"/>
    <col min="74" max="74" width="10.77734375" customWidth="1"/>
    <col min="75" max="75" width="17.109375" customWidth="1"/>
  </cols>
  <sheetData>
    <row r="4" spans="7:80" ht="46.2" customHeight="1" x14ac:dyDescent="0.65">
      <c r="BL4" s="35" t="s">
        <v>19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</row>
    <row r="5" spans="7:80" ht="14.4" customHeight="1" x14ac:dyDescent="0.3">
      <c r="BN5" s="36" t="s">
        <v>0</v>
      </c>
      <c r="BO5" s="37" t="s">
        <v>1</v>
      </c>
      <c r="BP5" s="32" t="s">
        <v>2</v>
      </c>
      <c r="BQ5" s="33"/>
      <c r="BR5" s="33"/>
      <c r="BS5" s="39" t="s">
        <v>6</v>
      </c>
      <c r="BT5" s="40"/>
      <c r="BU5" s="40"/>
      <c r="BV5" s="42" t="s">
        <v>8</v>
      </c>
      <c r="BW5" s="43"/>
      <c r="BX5" s="45" t="s">
        <v>9</v>
      </c>
      <c r="BY5" s="46"/>
      <c r="BZ5" s="46"/>
    </row>
    <row r="6" spans="7:80" x14ac:dyDescent="0.3">
      <c r="L6" s="31"/>
      <c r="M6" s="31"/>
      <c r="N6" s="31"/>
      <c r="O6" s="31"/>
      <c r="P6" s="31"/>
      <c r="Q6" s="31"/>
      <c r="R6" s="31"/>
      <c r="S6" s="31"/>
      <c r="T6" s="31"/>
      <c r="U6" s="31"/>
      <c r="BN6" s="36"/>
      <c r="BO6" s="37"/>
      <c r="BP6" s="34"/>
      <c r="BQ6" s="34"/>
      <c r="BR6" s="34"/>
      <c r="BS6" s="40"/>
      <c r="BT6" s="40"/>
      <c r="BU6" s="40"/>
      <c r="BV6" s="44"/>
      <c r="BW6" s="43"/>
      <c r="BX6" s="46"/>
      <c r="BY6" s="46"/>
      <c r="BZ6" s="46"/>
    </row>
    <row r="7" spans="7:80" ht="14.4" customHeight="1" x14ac:dyDescent="0.3">
      <c r="BN7" s="36"/>
      <c r="BO7" s="38"/>
      <c r="BP7" s="5" t="s">
        <v>3</v>
      </c>
      <c r="BQ7" s="11" t="s">
        <v>4</v>
      </c>
      <c r="BR7" s="6" t="s">
        <v>5</v>
      </c>
      <c r="BS7" s="4" t="s">
        <v>3</v>
      </c>
      <c r="BT7" s="12" t="s">
        <v>7</v>
      </c>
      <c r="BU7" s="4" t="s">
        <v>5</v>
      </c>
      <c r="BV7" s="7" t="s">
        <v>3</v>
      </c>
      <c r="BW7" s="7" t="s">
        <v>5</v>
      </c>
      <c r="BX7" s="46"/>
      <c r="BY7" s="46"/>
      <c r="BZ7" s="46"/>
    </row>
    <row r="8" spans="7:80" ht="14.4" customHeight="1" x14ac:dyDescent="0.3">
      <c r="BN8" s="8">
        <v>1</v>
      </c>
      <c r="BO8" s="1" t="s">
        <v>10</v>
      </c>
      <c r="BP8" s="9">
        <v>25</v>
      </c>
      <c r="BQ8" s="13">
        <v>350</v>
      </c>
      <c r="BR8" s="13">
        <v>8750</v>
      </c>
      <c r="BS8" s="10">
        <v>15</v>
      </c>
      <c r="BT8" s="13">
        <v>375</v>
      </c>
      <c r="BU8" s="13">
        <f>BS8*BT8</f>
        <v>5625</v>
      </c>
      <c r="BV8" s="10">
        <f>BP8-BS8</f>
        <v>10</v>
      </c>
      <c r="BW8" s="13">
        <f>BV8*BQ8</f>
        <v>3500</v>
      </c>
      <c r="BX8" s="41">
        <f>BW8+BU8-BR8</f>
        <v>375</v>
      </c>
      <c r="BY8" s="41"/>
      <c r="BZ8" s="41"/>
    </row>
    <row r="9" spans="7:80" ht="18" x14ac:dyDescent="0.35">
      <c r="G9" s="31"/>
      <c r="H9" s="31"/>
      <c r="I9" s="31"/>
      <c r="J9" s="31"/>
      <c r="K9" s="31"/>
      <c r="L9" s="31"/>
      <c r="M9" s="31"/>
      <c r="N9" s="31"/>
      <c r="O9" s="31"/>
      <c r="P9" s="31"/>
      <c r="BN9" s="8">
        <v>2</v>
      </c>
      <c r="BO9" s="3" t="s">
        <v>11</v>
      </c>
      <c r="BP9" s="2">
        <v>20</v>
      </c>
      <c r="BQ9" s="13">
        <v>190</v>
      </c>
      <c r="BR9" s="13">
        <v>3800</v>
      </c>
      <c r="BS9" s="10">
        <v>12</v>
      </c>
      <c r="BT9" s="15">
        <v>210</v>
      </c>
      <c r="BU9" s="13">
        <f t="shared" ref="BU9:BU16" si="0">BS9*BT9</f>
        <v>2520</v>
      </c>
      <c r="BV9" s="10">
        <v>8</v>
      </c>
      <c r="BW9" s="13">
        <f t="shared" ref="BW9:BW16" si="1">BV9*BQ9</f>
        <v>1520</v>
      </c>
      <c r="BX9" s="41">
        <f>BW9+BU9-BR9</f>
        <v>240</v>
      </c>
      <c r="BY9" s="41"/>
      <c r="BZ9" s="41"/>
    </row>
    <row r="10" spans="7:80" ht="15.6" x14ac:dyDescent="0.3">
      <c r="BN10" s="8">
        <v>3</v>
      </c>
      <c r="BO10" s="1" t="s">
        <v>12</v>
      </c>
      <c r="BP10" s="2">
        <v>14</v>
      </c>
      <c r="BQ10" s="14">
        <v>1750</v>
      </c>
      <c r="BR10" s="13">
        <v>24500</v>
      </c>
      <c r="BS10" s="10">
        <v>9</v>
      </c>
      <c r="BT10" s="15">
        <v>1870</v>
      </c>
      <c r="BU10" s="13">
        <f t="shared" si="0"/>
        <v>16830</v>
      </c>
      <c r="BV10" s="10">
        <v>5</v>
      </c>
      <c r="BW10" s="13">
        <f t="shared" si="1"/>
        <v>8750</v>
      </c>
      <c r="BX10" s="41">
        <f t="shared" ref="BX10:BX16" si="2">BW10+BU10-BR10</f>
        <v>1080</v>
      </c>
      <c r="BY10" s="41"/>
      <c r="BZ10" s="41"/>
    </row>
    <row r="11" spans="7:80" ht="15.6" x14ac:dyDescent="0.3">
      <c r="BN11" s="8">
        <v>4</v>
      </c>
      <c r="BO11" s="1" t="s">
        <v>13</v>
      </c>
      <c r="BP11" s="2">
        <v>81</v>
      </c>
      <c r="BQ11" s="15">
        <v>180</v>
      </c>
      <c r="BR11" s="13">
        <f>BP11*BQ11</f>
        <v>14580</v>
      </c>
      <c r="BS11" s="10">
        <v>70</v>
      </c>
      <c r="BT11" s="13">
        <v>84</v>
      </c>
      <c r="BU11" s="13">
        <f t="shared" si="0"/>
        <v>5880</v>
      </c>
      <c r="BV11" s="10">
        <v>11</v>
      </c>
      <c r="BW11" s="13">
        <f t="shared" si="1"/>
        <v>1980</v>
      </c>
      <c r="BX11" s="41">
        <f t="shared" si="2"/>
        <v>-6720</v>
      </c>
      <c r="BY11" s="41"/>
      <c r="BZ11" s="41"/>
    </row>
    <row r="12" spans="7:80" ht="15.6" x14ac:dyDescent="0.3">
      <c r="BN12" s="8">
        <v>5</v>
      </c>
      <c r="BO12" s="1" t="s">
        <v>14</v>
      </c>
      <c r="BP12" s="2">
        <v>30</v>
      </c>
      <c r="BQ12" s="13">
        <v>150</v>
      </c>
      <c r="BR12" s="13">
        <f t="shared" ref="BR12:BR16" si="3">BP12*BQ12</f>
        <v>4500</v>
      </c>
      <c r="BS12" s="10">
        <v>28</v>
      </c>
      <c r="BT12" s="15">
        <v>130</v>
      </c>
      <c r="BU12" s="13">
        <f t="shared" si="0"/>
        <v>3640</v>
      </c>
      <c r="BV12" s="10">
        <v>2</v>
      </c>
      <c r="BW12" s="13">
        <f t="shared" si="1"/>
        <v>300</v>
      </c>
      <c r="BX12" s="41">
        <f t="shared" si="2"/>
        <v>-560</v>
      </c>
      <c r="BY12" s="41"/>
      <c r="BZ12" s="41"/>
    </row>
    <row r="13" spans="7:80" ht="15.6" x14ac:dyDescent="0.3">
      <c r="BN13" s="8">
        <v>6</v>
      </c>
      <c r="BO13" s="1" t="s">
        <v>15</v>
      </c>
      <c r="BP13" s="2">
        <v>25</v>
      </c>
      <c r="BQ13" s="15">
        <v>145</v>
      </c>
      <c r="BR13" s="13">
        <f t="shared" si="3"/>
        <v>3625</v>
      </c>
      <c r="BS13" s="10">
        <v>16</v>
      </c>
      <c r="BT13" s="15">
        <v>175</v>
      </c>
      <c r="BU13" s="13">
        <f t="shared" si="0"/>
        <v>2800</v>
      </c>
      <c r="BV13" s="10">
        <v>9</v>
      </c>
      <c r="BW13" s="13">
        <f t="shared" si="1"/>
        <v>1305</v>
      </c>
      <c r="BX13" s="41">
        <f t="shared" si="2"/>
        <v>480</v>
      </c>
      <c r="BY13" s="41"/>
      <c r="BZ13" s="41"/>
    </row>
    <row r="14" spans="7:80" ht="15.6" x14ac:dyDescent="0.3">
      <c r="BN14" s="8">
        <v>7</v>
      </c>
      <c r="BO14" s="1" t="s">
        <v>16</v>
      </c>
      <c r="BP14" s="2">
        <v>22</v>
      </c>
      <c r="BQ14" s="15">
        <v>125</v>
      </c>
      <c r="BR14" s="13">
        <f t="shared" si="3"/>
        <v>2750</v>
      </c>
      <c r="BS14" s="10">
        <v>18</v>
      </c>
      <c r="BT14" s="15">
        <v>185</v>
      </c>
      <c r="BU14" s="13">
        <f t="shared" si="0"/>
        <v>3330</v>
      </c>
      <c r="BV14" s="10">
        <v>4</v>
      </c>
      <c r="BW14" s="13">
        <f t="shared" si="1"/>
        <v>500</v>
      </c>
      <c r="BX14" s="41">
        <f t="shared" si="2"/>
        <v>1080</v>
      </c>
      <c r="BY14" s="41"/>
      <c r="BZ14" s="41"/>
    </row>
    <row r="15" spans="7:80" ht="15.6" x14ac:dyDescent="0.3">
      <c r="BN15" s="8">
        <v>8</v>
      </c>
      <c r="BO15" s="1" t="s">
        <v>17</v>
      </c>
      <c r="BP15" s="2">
        <v>18</v>
      </c>
      <c r="BQ15" s="15">
        <v>144</v>
      </c>
      <c r="BR15" s="13">
        <f t="shared" si="3"/>
        <v>2592</v>
      </c>
      <c r="BS15" s="10">
        <v>15</v>
      </c>
      <c r="BT15" s="15">
        <v>124</v>
      </c>
      <c r="BU15" s="13">
        <f t="shared" si="0"/>
        <v>1860</v>
      </c>
      <c r="BV15" s="10">
        <v>3</v>
      </c>
      <c r="BW15" s="13">
        <f t="shared" si="1"/>
        <v>432</v>
      </c>
      <c r="BX15" s="41">
        <f t="shared" si="2"/>
        <v>-300</v>
      </c>
      <c r="BY15" s="41"/>
      <c r="BZ15" s="41"/>
    </row>
    <row r="16" spans="7:80" ht="15.6" x14ac:dyDescent="0.3">
      <c r="BN16" s="8">
        <v>9</v>
      </c>
      <c r="BO16" s="1" t="s">
        <v>18</v>
      </c>
      <c r="BP16" s="2">
        <v>28</v>
      </c>
      <c r="BQ16" s="13">
        <v>125</v>
      </c>
      <c r="BR16" s="13">
        <f t="shared" si="3"/>
        <v>3500</v>
      </c>
      <c r="BS16" s="10">
        <v>24</v>
      </c>
      <c r="BT16" s="15">
        <v>251</v>
      </c>
      <c r="BU16" s="13">
        <f t="shared" si="0"/>
        <v>6024</v>
      </c>
      <c r="BV16" s="10">
        <v>4</v>
      </c>
      <c r="BW16" s="13">
        <f t="shared" si="1"/>
        <v>500</v>
      </c>
      <c r="BX16" s="41">
        <f t="shared" si="2"/>
        <v>3024</v>
      </c>
      <c r="BY16" s="41"/>
      <c r="BZ16" s="41"/>
    </row>
  </sheetData>
  <mergeCells count="19">
    <mergeCell ref="BX16:BZ16"/>
    <mergeCell ref="BV5:BW6"/>
    <mergeCell ref="BX5:BZ7"/>
    <mergeCell ref="BX8:BZ8"/>
    <mergeCell ref="BX9:BZ9"/>
    <mergeCell ref="BX11:BZ11"/>
    <mergeCell ref="BX10:BZ10"/>
    <mergeCell ref="BX12:BZ12"/>
    <mergeCell ref="BX13:BZ13"/>
    <mergeCell ref="BX14:BZ14"/>
    <mergeCell ref="BX15:BZ15"/>
    <mergeCell ref="G9:P9"/>
    <mergeCell ref="BP5:BR6"/>
    <mergeCell ref="BL4:CB4"/>
    <mergeCell ref="BN5:BN7"/>
    <mergeCell ref="BO5:BO7"/>
    <mergeCell ref="BS5:BU6"/>
    <mergeCell ref="L6:P6"/>
    <mergeCell ref="Q6:U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AAA0-C021-45A6-B2E2-6EA13E5331B1}">
  <dimension ref="A3:B5"/>
  <sheetViews>
    <sheetView topLeftCell="D1" zoomScale="84" zoomScaleNormal="100" workbookViewId="0">
      <selection activeCell="K28" sqref="K28"/>
    </sheetView>
  </sheetViews>
  <sheetFormatPr defaultRowHeight="14.4" x14ac:dyDescent="0.3"/>
  <cols>
    <col min="1" max="1" width="19" bestFit="1" customWidth="1"/>
    <col min="2" max="2" width="5" bestFit="1" customWidth="1"/>
    <col min="3" max="11" width="15.5546875" bestFit="1" customWidth="1"/>
    <col min="12" max="12" width="10.77734375" bestFit="1" customWidth="1"/>
    <col min="13" max="13" width="6" bestFit="1" customWidth="1"/>
    <col min="14" max="14" width="8.6640625" bestFit="1" customWidth="1"/>
    <col min="15" max="15" width="6" bestFit="1" customWidth="1"/>
    <col min="16" max="16" width="8.6640625" bestFit="1" customWidth="1"/>
    <col min="17" max="19" width="6" bestFit="1" customWidth="1"/>
    <col min="20" max="20" width="8.6640625" bestFit="1" customWidth="1"/>
    <col min="21" max="21" width="6" bestFit="1" customWidth="1"/>
    <col min="22" max="22" width="8.6640625" bestFit="1" customWidth="1"/>
    <col min="23" max="23" width="6" bestFit="1" customWidth="1"/>
    <col min="24" max="24" width="8.6640625" bestFit="1" customWidth="1"/>
    <col min="25" max="25" width="6" bestFit="1" customWidth="1"/>
    <col min="26" max="26" width="8.6640625" bestFit="1" customWidth="1"/>
    <col min="27" max="27" width="10.77734375" bestFit="1" customWidth="1"/>
  </cols>
  <sheetData>
    <row r="3" spans="1:2" x14ac:dyDescent="0.3">
      <c r="A3" s="25" t="s">
        <v>70</v>
      </c>
    </row>
    <row r="4" spans="1:2" x14ac:dyDescent="0.3">
      <c r="A4" s="26" t="s">
        <v>69</v>
      </c>
      <c r="B4">
        <v>2091</v>
      </c>
    </row>
    <row r="5" spans="1:2" x14ac:dyDescent="0.3">
      <c r="A5" s="26" t="s">
        <v>67</v>
      </c>
      <c r="B5">
        <v>1746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AA36-CB8E-4377-B267-CD518B08D2A4}">
  <dimension ref="A4:B16"/>
  <sheetViews>
    <sheetView workbookViewId="0">
      <selection activeCell="A4" sqref="A4:B16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10" bestFit="1" customWidth="1"/>
    <col min="4" max="4" width="11.33203125" bestFit="1" customWidth="1"/>
    <col min="5" max="5" width="10.77734375" bestFit="1" customWidth="1"/>
    <col min="6" max="6" width="12.21875" bestFit="1" customWidth="1"/>
    <col min="7" max="10" width="12" bestFit="1" customWidth="1"/>
    <col min="11" max="11" width="14.77734375" bestFit="1" customWidth="1"/>
    <col min="12" max="16" width="13.33203125" bestFit="1" customWidth="1"/>
    <col min="17" max="17" width="16.109375" bestFit="1" customWidth="1"/>
    <col min="18" max="18" width="10.77734375" bestFit="1" customWidth="1"/>
  </cols>
  <sheetData>
    <row r="4" spans="1:2" x14ac:dyDescent="0.3">
      <c r="A4" s="25" t="s">
        <v>71</v>
      </c>
      <c r="B4" t="s">
        <v>72</v>
      </c>
    </row>
    <row r="5" spans="1:2" x14ac:dyDescent="0.3">
      <c r="A5" s="26">
        <v>500</v>
      </c>
      <c r="B5">
        <v>1</v>
      </c>
    </row>
    <row r="6" spans="1:2" x14ac:dyDescent="0.3">
      <c r="A6" s="26">
        <v>1000</v>
      </c>
      <c r="B6">
        <v>1</v>
      </c>
    </row>
    <row r="7" spans="1:2" x14ac:dyDescent="0.3">
      <c r="A7" s="26">
        <v>2000</v>
      </c>
      <c r="B7">
        <v>2</v>
      </c>
    </row>
    <row r="8" spans="1:2" x14ac:dyDescent="0.3">
      <c r="A8" s="26">
        <v>2500</v>
      </c>
      <c r="B8">
        <v>1</v>
      </c>
    </row>
    <row r="9" spans="1:2" x14ac:dyDescent="0.3">
      <c r="A9" s="26">
        <v>2800</v>
      </c>
      <c r="B9">
        <v>1</v>
      </c>
    </row>
    <row r="10" spans="1:2" x14ac:dyDescent="0.3">
      <c r="A10" s="26">
        <v>3000</v>
      </c>
      <c r="B10">
        <v>2</v>
      </c>
    </row>
    <row r="11" spans="1:2" x14ac:dyDescent="0.3">
      <c r="A11" s="26">
        <v>4000</v>
      </c>
      <c r="B11">
        <v>1</v>
      </c>
    </row>
    <row r="12" spans="1:2" x14ac:dyDescent="0.3">
      <c r="A12" s="26">
        <v>6000</v>
      </c>
      <c r="B12">
        <v>3</v>
      </c>
    </row>
    <row r="13" spans="1:2" x14ac:dyDescent="0.3">
      <c r="A13" s="26">
        <v>9000</v>
      </c>
      <c r="B13">
        <v>1</v>
      </c>
    </row>
    <row r="14" spans="1:2" x14ac:dyDescent="0.3">
      <c r="A14" s="26">
        <v>20000</v>
      </c>
      <c r="B14">
        <v>1</v>
      </c>
    </row>
    <row r="15" spans="1:2" x14ac:dyDescent="0.3">
      <c r="A15" s="26">
        <v>25000</v>
      </c>
      <c r="B15">
        <v>1</v>
      </c>
    </row>
    <row r="16" spans="1:2" x14ac:dyDescent="0.3">
      <c r="A16" s="26" t="s">
        <v>68</v>
      </c>
      <c r="B16">
        <v>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ECAE-B375-4EAF-A6A3-3CB7E2D77682}">
  <dimension ref="A1:I33"/>
  <sheetViews>
    <sheetView showGridLines="0" tabSelected="1" zoomScale="102" zoomScaleNormal="102" workbookViewId="0">
      <pane xSplit="2" ySplit="4" topLeftCell="C5" activePane="bottomRight" state="frozen"/>
      <selection pane="topRight" activeCell="C1" sqref="C1"/>
      <selection pane="bottomLeft" activeCell="A6" sqref="A6"/>
      <selection pane="bottomRight" sqref="A1:I2"/>
    </sheetView>
  </sheetViews>
  <sheetFormatPr defaultRowHeight="14.4" x14ac:dyDescent="0.3"/>
  <cols>
    <col min="1" max="1" width="11.88671875" customWidth="1"/>
    <col min="2" max="2" width="19.44140625" customWidth="1"/>
    <col min="3" max="3" width="12.44140625" customWidth="1"/>
    <col min="4" max="4" width="15.21875" customWidth="1"/>
    <col min="5" max="5" width="11" customWidth="1"/>
    <col min="6" max="6" width="18.44140625" customWidth="1"/>
    <col min="7" max="7" width="14.88671875" customWidth="1"/>
    <col min="8" max="8" width="14.109375" customWidth="1"/>
    <col min="9" max="9" width="16.77734375" customWidth="1"/>
    <col min="10" max="10" width="42.21875" customWidth="1"/>
  </cols>
  <sheetData>
    <row r="1" spans="1:9" ht="30" x14ac:dyDescent="0.7">
      <c r="A1" s="47"/>
      <c r="B1" s="48" t="s">
        <v>74</v>
      </c>
      <c r="C1" s="47"/>
      <c r="D1" s="47"/>
      <c r="E1" s="47"/>
      <c r="F1" s="47"/>
      <c r="G1" s="49"/>
      <c r="H1" s="47"/>
      <c r="I1" s="47"/>
    </row>
    <row r="2" spans="1:9" ht="25.2" x14ac:dyDescent="0.5">
      <c r="A2" s="47"/>
      <c r="B2" s="47"/>
      <c r="C2" s="50" t="s">
        <v>75</v>
      </c>
      <c r="D2" s="47"/>
      <c r="E2" s="47"/>
      <c r="F2" s="47"/>
      <c r="G2" s="47"/>
      <c r="H2" s="47"/>
      <c r="I2" s="47"/>
    </row>
    <row r="3" spans="1:9" x14ac:dyDescent="0.3">
      <c r="A3" s="16" t="s">
        <v>20</v>
      </c>
      <c r="B3" s="17" t="s">
        <v>54</v>
      </c>
      <c r="C3" s="17" t="s">
        <v>55</v>
      </c>
      <c r="D3" s="17" t="s">
        <v>56</v>
      </c>
      <c r="E3" s="17" t="s">
        <v>57</v>
      </c>
      <c r="F3" s="17" t="s">
        <v>61</v>
      </c>
      <c r="G3" s="17" t="s">
        <v>58</v>
      </c>
      <c r="H3" s="17" t="s">
        <v>59</v>
      </c>
      <c r="I3" s="9" t="s">
        <v>60</v>
      </c>
    </row>
    <row r="4" spans="1:9" x14ac:dyDescent="0.3">
      <c r="A4" s="18" t="s">
        <v>21</v>
      </c>
      <c r="B4" s="19" t="s">
        <v>36</v>
      </c>
      <c r="C4" s="20" t="s">
        <v>51</v>
      </c>
      <c r="D4" s="20">
        <v>200</v>
      </c>
      <c r="E4" s="20">
        <v>150</v>
      </c>
      <c r="F4" s="20">
        <v>500</v>
      </c>
      <c r="G4" s="20">
        <v>50</v>
      </c>
      <c r="H4" s="20">
        <v>50</v>
      </c>
      <c r="I4" s="2">
        <f>SUM(F4*H4)</f>
        <v>25000</v>
      </c>
    </row>
    <row r="5" spans="1:9" x14ac:dyDescent="0.3">
      <c r="A5" s="18" t="s">
        <v>22</v>
      </c>
      <c r="B5" s="19" t="s">
        <v>37</v>
      </c>
      <c r="C5" s="20" t="s">
        <v>51</v>
      </c>
      <c r="D5" s="20">
        <v>120</v>
      </c>
      <c r="E5" s="20">
        <v>60</v>
      </c>
      <c r="F5" s="20">
        <v>100</v>
      </c>
      <c r="G5" s="20">
        <v>30</v>
      </c>
      <c r="H5" s="20">
        <v>60</v>
      </c>
      <c r="I5" s="2">
        <f t="shared" ref="I5:I18" si="0">SUM(F5*H5)</f>
        <v>6000</v>
      </c>
    </row>
    <row r="6" spans="1:9" x14ac:dyDescent="0.3">
      <c r="A6" s="18" t="s">
        <v>23</v>
      </c>
      <c r="B6" s="19" t="s">
        <v>38</v>
      </c>
      <c r="C6" s="20" t="s">
        <v>51</v>
      </c>
      <c r="D6" s="20">
        <v>80</v>
      </c>
      <c r="E6" s="20">
        <v>60</v>
      </c>
      <c r="F6" s="20">
        <v>150</v>
      </c>
      <c r="G6" s="20">
        <v>20</v>
      </c>
      <c r="H6" s="20">
        <v>20</v>
      </c>
      <c r="I6" s="2">
        <f t="shared" si="0"/>
        <v>3000</v>
      </c>
    </row>
    <row r="7" spans="1:9" x14ac:dyDescent="0.3">
      <c r="A7" s="18" t="s">
        <v>24</v>
      </c>
      <c r="B7" s="19" t="s">
        <v>39</v>
      </c>
      <c r="C7" s="20" t="s">
        <v>51</v>
      </c>
      <c r="D7" s="20">
        <v>60</v>
      </c>
      <c r="E7" s="20">
        <v>55</v>
      </c>
      <c r="F7" s="20">
        <v>200</v>
      </c>
      <c r="G7" s="20">
        <v>10</v>
      </c>
      <c r="H7" s="20">
        <v>5</v>
      </c>
      <c r="I7" s="2">
        <f t="shared" si="0"/>
        <v>1000</v>
      </c>
    </row>
    <row r="8" spans="1:9" x14ac:dyDescent="0.3">
      <c r="A8" s="18" t="s">
        <v>25</v>
      </c>
      <c r="B8" s="19" t="s">
        <v>40</v>
      </c>
      <c r="C8" s="20" t="s">
        <v>51</v>
      </c>
      <c r="D8" s="20">
        <v>200</v>
      </c>
      <c r="E8" s="20">
        <v>180</v>
      </c>
      <c r="F8" s="20">
        <v>300</v>
      </c>
      <c r="G8" s="20">
        <v>35</v>
      </c>
      <c r="H8" s="20">
        <v>20</v>
      </c>
      <c r="I8" s="2">
        <f t="shared" si="0"/>
        <v>6000</v>
      </c>
    </row>
    <row r="9" spans="1:9" x14ac:dyDescent="0.3">
      <c r="A9" s="18" t="s">
        <v>26</v>
      </c>
      <c r="B9" s="19" t="s">
        <v>41</v>
      </c>
      <c r="C9" s="20" t="s">
        <v>52</v>
      </c>
      <c r="D9" s="20">
        <v>180</v>
      </c>
      <c r="E9" s="20">
        <v>170</v>
      </c>
      <c r="F9" s="20">
        <v>250</v>
      </c>
      <c r="G9" s="20">
        <v>40</v>
      </c>
      <c r="H9" s="20">
        <v>10</v>
      </c>
      <c r="I9" s="2">
        <f t="shared" si="0"/>
        <v>2500</v>
      </c>
    </row>
    <row r="10" spans="1:9" x14ac:dyDescent="0.3">
      <c r="A10" s="18" t="s">
        <v>27</v>
      </c>
      <c r="B10" s="19" t="s">
        <v>42</v>
      </c>
      <c r="C10" s="20" t="s">
        <v>52</v>
      </c>
      <c r="D10" s="20">
        <v>70</v>
      </c>
      <c r="E10" s="20">
        <v>50</v>
      </c>
      <c r="F10" s="20">
        <v>100</v>
      </c>
      <c r="G10" s="20">
        <v>18</v>
      </c>
      <c r="H10" s="20">
        <v>20</v>
      </c>
      <c r="I10" s="2">
        <f t="shared" si="0"/>
        <v>2000</v>
      </c>
    </row>
    <row r="11" spans="1:9" x14ac:dyDescent="0.3">
      <c r="A11" s="18" t="s">
        <v>28</v>
      </c>
      <c r="B11" s="19" t="s">
        <v>43</v>
      </c>
      <c r="C11" s="20" t="s">
        <v>52</v>
      </c>
      <c r="D11" s="20">
        <v>50</v>
      </c>
      <c r="E11" s="20">
        <v>40</v>
      </c>
      <c r="F11" s="20">
        <v>600</v>
      </c>
      <c r="G11" s="20">
        <v>5</v>
      </c>
      <c r="H11" s="20">
        <v>10</v>
      </c>
      <c r="I11" s="2">
        <f t="shared" si="0"/>
        <v>6000</v>
      </c>
    </row>
    <row r="12" spans="1:9" x14ac:dyDescent="0.3">
      <c r="A12" s="18" t="s">
        <v>29</v>
      </c>
      <c r="B12" s="19" t="s">
        <v>44</v>
      </c>
      <c r="C12" s="20" t="s">
        <v>52</v>
      </c>
      <c r="D12" s="20">
        <v>120</v>
      </c>
      <c r="E12" s="20">
        <v>100</v>
      </c>
      <c r="F12" s="20">
        <v>200</v>
      </c>
      <c r="G12" s="20">
        <v>30</v>
      </c>
      <c r="H12" s="20">
        <v>20</v>
      </c>
      <c r="I12" s="2">
        <f t="shared" si="0"/>
        <v>4000</v>
      </c>
    </row>
    <row r="13" spans="1:9" x14ac:dyDescent="0.3">
      <c r="A13" s="18" t="s">
        <v>30</v>
      </c>
      <c r="B13" s="19" t="s">
        <v>45</v>
      </c>
      <c r="C13" s="20" t="s">
        <v>52</v>
      </c>
      <c r="D13" s="20">
        <v>220</v>
      </c>
      <c r="E13" s="20">
        <v>200</v>
      </c>
      <c r="F13" s="20">
        <v>140</v>
      </c>
      <c r="G13" s="20">
        <v>70</v>
      </c>
      <c r="H13" s="20">
        <v>20</v>
      </c>
      <c r="I13" s="2">
        <f t="shared" si="0"/>
        <v>2800</v>
      </c>
    </row>
    <row r="14" spans="1:9" x14ac:dyDescent="0.3">
      <c r="A14" s="18" t="s">
        <v>31</v>
      </c>
      <c r="B14" s="19" t="s">
        <v>46</v>
      </c>
      <c r="C14" s="20" t="s">
        <v>53</v>
      </c>
      <c r="D14" s="20">
        <v>160</v>
      </c>
      <c r="E14" s="20">
        <v>150</v>
      </c>
      <c r="F14" s="20">
        <v>200</v>
      </c>
      <c r="G14" s="20">
        <v>45</v>
      </c>
      <c r="H14" s="20">
        <v>10</v>
      </c>
      <c r="I14" s="2">
        <f t="shared" si="0"/>
        <v>2000</v>
      </c>
    </row>
    <row r="15" spans="1:9" x14ac:dyDescent="0.3">
      <c r="A15" s="18" t="s">
        <v>32</v>
      </c>
      <c r="B15" s="19" t="s">
        <v>47</v>
      </c>
      <c r="C15" s="20" t="s">
        <v>53</v>
      </c>
      <c r="D15" s="20">
        <v>170</v>
      </c>
      <c r="E15" s="20">
        <v>140</v>
      </c>
      <c r="F15" s="20">
        <v>300</v>
      </c>
      <c r="G15" s="20">
        <v>55</v>
      </c>
      <c r="H15" s="20">
        <v>30</v>
      </c>
      <c r="I15" s="2">
        <f t="shared" si="0"/>
        <v>9000</v>
      </c>
    </row>
    <row r="16" spans="1:9" x14ac:dyDescent="0.3">
      <c r="A16" s="18" t="s">
        <v>33</v>
      </c>
      <c r="B16" s="19" t="s">
        <v>48</v>
      </c>
      <c r="C16" s="20" t="s">
        <v>53</v>
      </c>
      <c r="D16" s="20">
        <v>140</v>
      </c>
      <c r="E16" s="20">
        <v>100</v>
      </c>
      <c r="F16" s="20">
        <v>500</v>
      </c>
      <c r="G16" s="20">
        <v>48</v>
      </c>
      <c r="H16" s="20">
        <v>40</v>
      </c>
      <c r="I16" s="2">
        <f t="shared" si="0"/>
        <v>20000</v>
      </c>
    </row>
    <row r="17" spans="1:9" x14ac:dyDescent="0.3">
      <c r="A17" s="18" t="s">
        <v>34</v>
      </c>
      <c r="B17" s="19" t="s">
        <v>49</v>
      </c>
      <c r="C17" s="20" t="s">
        <v>53</v>
      </c>
      <c r="D17" s="20">
        <v>155</v>
      </c>
      <c r="E17" s="20">
        <v>150</v>
      </c>
      <c r="F17" s="20">
        <v>100</v>
      </c>
      <c r="G17" s="20">
        <v>38</v>
      </c>
      <c r="H17" s="20">
        <v>5</v>
      </c>
      <c r="I17" s="2">
        <f t="shared" si="0"/>
        <v>500</v>
      </c>
    </row>
    <row r="18" spans="1:9" x14ac:dyDescent="0.3">
      <c r="A18" s="21" t="s">
        <v>35</v>
      </c>
      <c r="B18" s="22" t="s">
        <v>50</v>
      </c>
      <c r="C18" s="23" t="s">
        <v>53</v>
      </c>
      <c r="D18" s="23">
        <v>166</v>
      </c>
      <c r="E18" s="23">
        <v>141</v>
      </c>
      <c r="F18" s="23">
        <v>200</v>
      </c>
      <c r="G18" s="23">
        <v>33</v>
      </c>
      <c r="H18" s="23">
        <v>15</v>
      </c>
      <c r="I18" s="24">
        <f t="shared" si="0"/>
        <v>3000</v>
      </c>
    </row>
    <row r="20" spans="1:9" ht="24.6" x14ac:dyDescent="0.4">
      <c r="B20" s="28" t="s">
        <v>73</v>
      </c>
    </row>
    <row r="21" spans="1:9" x14ac:dyDescent="0.3">
      <c r="E21" s="29" t="s">
        <v>71</v>
      </c>
      <c r="F21" s="1" t="s">
        <v>72</v>
      </c>
      <c r="H21" s="27"/>
    </row>
    <row r="22" spans="1:9" x14ac:dyDescent="0.3">
      <c r="A22" s="1"/>
      <c r="B22" s="1" t="s">
        <v>63</v>
      </c>
      <c r="C22" s="1"/>
      <c r="E22" s="30">
        <v>500</v>
      </c>
      <c r="F22" s="1">
        <v>1</v>
      </c>
    </row>
    <row r="23" spans="1:9" x14ac:dyDescent="0.3">
      <c r="A23" s="1"/>
      <c r="B23" s="1"/>
      <c r="C23" s="1"/>
      <c r="E23" s="30">
        <v>1000</v>
      </c>
      <c r="F23" s="1">
        <v>1</v>
      </c>
    </row>
    <row r="24" spans="1:9" x14ac:dyDescent="0.3">
      <c r="A24" s="1">
        <v>1</v>
      </c>
      <c r="B24" s="1" t="s">
        <v>62</v>
      </c>
      <c r="C24" s="1">
        <f>SUM(I4:I18)</f>
        <v>92800</v>
      </c>
      <c r="E24" s="30">
        <v>2000</v>
      </c>
      <c r="F24" s="1">
        <v>2</v>
      </c>
    </row>
    <row r="25" spans="1:9" x14ac:dyDescent="0.3">
      <c r="A25" s="1">
        <v>2</v>
      </c>
      <c r="B25" s="1" t="s">
        <v>64</v>
      </c>
      <c r="C25" s="1">
        <f>AVERAGE(I4:I18)</f>
        <v>6186.666666666667</v>
      </c>
      <c r="E25" s="30">
        <v>2500</v>
      </c>
      <c r="F25" s="1">
        <v>1</v>
      </c>
    </row>
    <row r="26" spans="1:9" x14ac:dyDescent="0.3">
      <c r="A26" s="1">
        <v>3</v>
      </c>
      <c r="B26" s="1" t="s">
        <v>65</v>
      </c>
      <c r="C26" s="1"/>
      <c r="E26" s="30">
        <v>2800</v>
      </c>
      <c r="F26" s="1">
        <v>1</v>
      </c>
    </row>
    <row r="27" spans="1:9" x14ac:dyDescent="0.3">
      <c r="A27" s="1"/>
      <c r="B27" s="1" t="s">
        <v>66</v>
      </c>
      <c r="C27" s="1"/>
      <c r="E27" s="30">
        <v>3000</v>
      </c>
      <c r="F27" s="1">
        <v>2</v>
      </c>
    </row>
    <row r="28" spans="1:9" x14ac:dyDescent="0.3">
      <c r="A28" s="1"/>
      <c r="B28" s="1"/>
      <c r="C28" s="1"/>
      <c r="E28" s="30">
        <v>4000</v>
      </c>
      <c r="F28" s="1">
        <v>1</v>
      </c>
    </row>
    <row r="29" spans="1:9" x14ac:dyDescent="0.3">
      <c r="E29" s="30">
        <v>6000</v>
      </c>
      <c r="F29" s="1">
        <v>3</v>
      </c>
    </row>
    <row r="30" spans="1:9" x14ac:dyDescent="0.3">
      <c r="E30" s="30">
        <v>9000</v>
      </c>
      <c r="F30" s="1">
        <v>1</v>
      </c>
    </row>
    <row r="31" spans="1:9" x14ac:dyDescent="0.3">
      <c r="E31" s="30">
        <v>20000</v>
      </c>
      <c r="F31" s="1">
        <v>1</v>
      </c>
    </row>
    <row r="32" spans="1:9" x14ac:dyDescent="0.3">
      <c r="E32" s="30">
        <v>25000</v>
      </c>
      <c r="F32" s="1">
        <v>1</v>
      </c>
    </row>
    <row r="33" spans="5:6" x14ac:dyDescent="0.3">
      <c r="E33" s="30" t="s">
        <v>68</v>
      </c>
      <c r="F33" s="1">
        <v>15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2026-01-31T14:51:37Z</dcterms:modified>
</cp:coreProperties>
</file>