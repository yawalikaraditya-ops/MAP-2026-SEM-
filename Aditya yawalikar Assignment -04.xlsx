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BBC3C15F-2561-4C01-BA36-521D18902538}" xr6:coauthVersionLast="47" xr6:coauthVersionMax="47" xr10:uidLastSave="{00000000-0000-0000-0000-000000000000}"/>
  <bookViews>
    <workbookView xWindow="-108" yWindow="-108" windowWidth="23256" windowHeight="13896" xr2:uid="{D2A8BC7D-3506-4AAD-B004-D256FB82D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E5" i="1"/>
  <c r="E6" i="1"/>
  <c r="E7" i="1"/>
  <c r="E8" i="1"/>
  <c r="E9" i="1"/>
  <c r="E10" i="1"/>
  <c r="E11" i="1"/>
  <c r="I25" i="1" s="1"/>
  <c r="E12" i="1"/>
  <c r="E13" i="1"/>
  <c r="E14" i="1"/>
  <c r="E15" i="1"/>
  <c r="E16" i="1"/>
  <c r="E17" i="1"/>
  <c r="E18" i="1"/>
  <c r="E4" i="1"/>
  <c r="I26" i="1" l="1"/>
  <c r="C22" i="1"/>
</calcChain>
</file>

<file path=xl/sharedStrings.xml><?xml version="1.0" encoding="utf-8"?>
<sst xmlns="http://schemas.openxmlformats.org/spreadsheetml/2006/main" count="85" uniqueCount="46">
  <si>
    <t xml:space="preserve">HR Analytics &amp; Workforce Performance </t>
  </si>
  <si>
    <t>Employee ID</t>
  </si>
  <si>
    <t xml:space="preserve">E001 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</si>
  <si>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</si>
  <si>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</si>
  <si>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</si>
  <si>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</si>
  <si>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</si>
  <si>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</si>
  <si>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</si>
  <si>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</si>
  <si>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</si>
  <si>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</si>
  <si>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</si>
  <si>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</si>
  <si>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</si>
  <si>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</si>
  <si>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 xml:space="preserve">Department </t>
  </si>
  <si>
    <t>Sales</t>
  </si>
  <si>
    <t>HR</t>
  </si>
  <si>
    <t>IT</t>
  </si>
  <si>
    <t xml:space="preserve">Year of Experience </t>
  </si>
  <si>
    <t>Monthly Salary</t>
  </si>
  <si>
    <t>Performance Rating(1-5)</t>
  </si>
  <si>
    <t xml:space="preserve">Traning hours </t>
  </si>
  <si>
    <t>Attrition Risk (Yes \ No )</t>
  </si>
  <si>
    <t>No</t>
  </si>
  <si>
    <t>Yes</t>
  </si>
  <si>
    <t xml:space="preserve">Annual Salary </t>
  </si>
  <si>
    <t xml:space="preserve">Average Performance Rating </t>
  </si>
  <si>
    <t xml:space="preserve">High performance </t>
  </si>
  <si>
    <t>YES</t>
  </si>
  <si>
    <t>NO</t>
  </si>
  <si>
    <t>AVERAGEIF ()</t>
  </si>
  <si>
    <t>Annual Salary ()</t>
  </si>
  <si>
    <t xml:space="preserve">Average Training Hours </t>
  </si>
  <si>
    <t>COUNTIF()</t>
  </si>
  <si>
    <t>Sales ()</t>
  </si>
  <si>
    <t>HR ()</t>
  </si>
  <si>
    <t>IT()</t>
  </si>
  <si>
    <t>8</t>
  </si>
  <si>
    <t>Column1</t>
  </si>
  <si>
    <t>79200</t>
  </si>
  <si>
    <t xml:space="preserve">    HR Metrics Calculation</t>
  </si>
  <si>
    <t>HR ANALYSIS, USE</t>
  </si>
  <si>
    <r>
      <t xml:space="preserve">         </t>
    </r>
    <r>
      <rPr>
        <sz val="14"/>
        <color theme="1"/>
        <rFont val="Calibri"/>
        <family val="2"/>
        <scheme val="minor"/>
      </rPr>
      <t xml:space="preserve"> "Employee Performance &amp; Attrition Analysis -TechNova Pvt Ltd"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</si>
</sst>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Algerian"/>
      <family val="5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8" xfId="0" applyBorder="1"/>
    <xf numFmtId="0" fontId="0" fillId="2" borderId="0" xfId="0" applyFill="1"/>
    <xf numFmtId="0" fontId="3" fillId="2" borderId="0" xfId="0" applyFont="1" applyFill="1" applyAlignment="1">
      <alignment horizontal="center"/>
    </xf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58937ED0-8165-432C-BD40-289DEC6B87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Risk </a:t>
            </a:r>
          </a:p>
        </c:rich>
      </c:tx>
      <c:layout>
        <c:manualLayout>
          <c:xMode val="edge"/>
          <c:yMode val="edge"/>
          <c:x val="0.41965823964062843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07820558323367"/>
          <c:y val="0.31714202391367746"/>
          <c:w val="0.71176041433885873"/>
          <c:h val="0.5873341353164187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AE0-4DB1-9649-226040D3A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2-BAE0-4DB1-9649-226040D3AF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173402</xdr:colOff>
      <xdr:row>20</xdr:row>
      <xdr:rowOff>5203</xdr:rowOff>
    </xdr:from>
    <xdr:to>
      <xdr:col>6</xdr:col>
      <xdr:colOff>1328853</xdr:colOff>
      <xdr:row>34</xdr:row>
      <xdr:rowOff>73782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61975-8860-45CD-9F98-09AD5152D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F7867-C14C-45A4-844D-02AAEFD6781E}" name="Table1" displayName="Table1" ref="A3:I18" totalsRowShown="0" headerRowDxfId="25" dataDxfId="23" headerRowBorderDxfId="24" tableBorderDxfId="22" totalsRowBorderDxfId="21">
  <autoFilter ref="A3:I18" xr:uid="{936F7867-C14C-45A4-844D-02AAEFD678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EFF6544-5B2D-4ABE-A3F6-C3E10E844B74}" name="Employee ID" dataDxfId="20"/>
    <tableColumn id="2" xr3:uid="{09ABA86A-E7B9-4E73-A80B-41D4F501D636}" name="Department " dataDxfId="19"/>
    <tableColumn id="3" xr3:uid="{876964F2-198C-4FBB-AD9F-1CDD94C01342}" name="Year of Experience " dataDxfId="18"/>
    <tableColumn id="4" xr3:uid="{34A82D93-C6B8-446E-816D-B5965F579705}" name="Monthly Salary" dataDxfId="17"/>
    <tableColumn id="5" xr3:uid="{B10A53E7-A714-43A5-A125-718B41872AC2}" name="Annual Salary " dataDxfId="16">
      <calculatedColumnFormula>SUM(D4*12)</calculatedColumnFormula>
    </tableColumn>
    <tableColumn id="6" xr3:uid="{40D7066F-CFF6-43E9-9A0B-C21EBC61F194}" name="Performance Rating(1-5)" dataDxfId="15"/>
    <tableColumn id="16" xr3:uid="{8CA19A27-3B90-4D6A-A06D-31AE475C1A2E}" name="High performance " dataDxfId="14"/>
    <tableColumn id="7" xr3:uid="{561C0AAD-EEBD-4D06-905E-5BFB5F057012}" name="Traning hours " dataDxfId="13"/>
    <tableColumn id="8" xr3:uid="{358E25D0-EFD0-42B7-8C29-8940EDC8FAA7}" name="Attrition Risk (Yes \ No )" dataDxf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13D44-4E49-454C-81BC-6E507B156D74}" name="Table2" displayName="Table2" ref="H21:I26" totalsRowShown="0" headerRowDxfId="11" headerRowBorderDxfId="10" tableBorderDxfId="9" totalsRowBorderDxfId="8">
  <autoFilter ref="H21:I26" xr:uid="{C2413D44-4E49-454C-81BC-6E507B156D74}">
    <filterColumn colId="0" hiddenButton="1"/>
    <filterColumn colId="1" hiddenButton="1"/>
  </autoFilter>
  <tableColumns count="2">
    <tableColumn id="1" xr3:uid="{F1AF4585-240D-4719-84C3-C6DE0959E277}" name="COUNTIF()" dataDxfId="7"/>
    <tableColumn id="2" xr3:uid="{56FFB8D6-F6CC-483E-9100-FA02FD65C99E}" name="8" dataDxfId="6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666907-3C5C-4B4E-BB0B-C680A03FF27B}" name="Table3" displayName="Table3" ref="A21:C23" totalsRowShown="0" headerRowBorderDxfId="5" tableBorderDxfId="4" totalsRowBorderDxfId="3">
  <autoFilter ref="A21:C23" xr:uid="{58666907-3C5C-4B4E-BB0B-C680A03FF27B}">
    <filterColumn colId="0" hiddenButton="1"/>
    <filterColumn colId="1" hiddenButton="1"/>
    <filterColumn colId="2" hiddenButton="1"/>
  </autoFilter>
  <tableColumns count="3">
    <tableColumn id="1" xr3:uid="{DA399875-404C-4978-BC2B-19C3928AB492}" name="Annual Salary ()" dataDxfId="2"/>
    <tableColumn id="2" xr3:uid="{A88E83DB-D0B2-4653-8178-96484B1D6878}" name="Column1" dataDxfId="1"/>
    <tableColumn id="3" xr3:uid="{68780DAB-650E-46D3-8EBA-303F3946F91B}" name="79200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8BEC-1A92-48CA-A04A-EB3276409169}">
  <dimension ref="A1:J26"/>
  <sheetViews>
    <sheetView showGridLines="0" tabSelected="1" zoomScale="99" zoomScaleNormal="99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M8" sqref="M8"/>
    </sheetView>
  </sheetViews>
  <sheetFormatPr defaultRowHeight="14.4" x14ac:dyDescent="0.3"/>
  <cols>
    <col min="1" max="2" width="13.44140625" customWidth="1"/>
    <col min="3" max="3" width="19.77734375" customWidth="1"/>
    <col min="4" max="4" width="16.21875" customWidth="1"/>
    <col min="5" max="5" width="14.88671875" customWidth="1"/>
    <col min="6" max="7" width="23.5546875" customWidth="1"/>
    <col min="8" max="8" width="14.88671875" customWidth="1"/>
    <col min="9" max="9" width="22.88671875" customWidth="1"/>
  </cols>
  <sheetData>
    <row r="1" spans="1:10" ht="31.2" x14ac:dyDescent="0.6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8" customHeight="1" x14ac:dyDescent="0.35">
      <c r="A2" s="20"/>
      <c r="B2" s="20"/>
      <c r="C2" s="20"/>
      <c r="D2" s="20" t="s">
        <v>45</v>
      </c>
      <c r="E2" s="20"/>
      <c r="F2" s="20"/>
      <c r="G2" s="20"/>
      <c r="H2" s="20"/>
      <c r="I2" s="20"/>
      <c r="J2" s="20"/>
    </row>
    <row r="3" spans="1:10" x14ac:dyDescent="0.3">
      <c r="A3" s="2" t="s">
        <v>1</v>
      </c>
      <c r="B3" s="3" t="s">
        <v>17</v>
      </c>
      <c r="C3" s="3" t="s">
        <v>21</v>
      </c>
      <c r="D3" s="3" t="s">
        <v>22</v>
      </c>
      <c r="E3" s="3" t="s">
        <v>28</v>
      </c>
      <c r="F3" s="3" t="s">
        <v>23</v>
      </c>
      <c r="G3" s="3" t="s">
        <v>30</v>
      </c>
      <c r="H3" s="3" t="s">
        <v>24</v>
      </c>
      <c r="I3" s="4" t="s">
        <v>25</v>
      </c>
    </row>
    <row r="4" spans="1:10" x14ac:dyDescent="0.3">
      <c r="A4" s="5" t="s">
        <v>2</v>
      </c>
      <c r="B4" s="6" t="s">
        <v>18</v>
      </c>
      <c r="C4" s="6">
        <v>3</v>
      </c>
      <c r="D4" s="6">
        <v>5000</v>
      </c>
      <c r="E4" s="6">
        <f>SUM(D4*12)</f>
        <v>60000</v>
      </c>
      <c r="F4" s="6">
        <v>4</v>
      </c>
      <c r="G4" s="6" t="s">
        <v>31</v>
      </c>
      <c r="H4" s="6">
        <v>12</v>
      </c>
      <c r="I4" s="7" t="s">
        <v>26</v>
      </c>
    </row>
    <row r="5" spans="1:10" x14ac:dyDescent="0.3">
      <c r="A5" s="5" t="s">
        <v>3</v>
      </c>
      <c r="B5" s="6" t="s">
        <v>19</v>
      </c>
      <c r="C5" s="6">
        <v>5</v>
      </c>
      <c r="D5" s="6">
        <v>6000</v>
      </c>
      <c r="E5" s="6">
        <f t="shared" ref="E5:E18" si="0">SUM(D5*12)</f>
        <v>72000</v>
      </c>
      <c r="F5" s="6">
        <v>3</v>
      </c>
      <c r="G5" s="6" t="s">
        <v>32</v>
      </c>
      <c r="H5" s="6">
        <v>15</v>
      </c>
      <c r="I5" s="7" t="s">
        <v>26</v>
      </c>
    </row>
    <row r="6" spans="1:10" x14ac:dyDescent="0.3">
      <c r="A6" s="5" t="s">
        <v>4</v>
      </c>
      <c r="B6" s="6" t="s">
        <v>20</v>
      </c>
      <c r="C6" s="6">
        <v>2</v>
      </c>
      <c r="D6" s="6">
        <v>4500</v>
      </c>
      <c r="E6" s="6">
        <f t="shared" si="0"/>
        <v>54000</v>
      </c>
      <c r="F6" s="6">
        <v>5</v>
      </c>
      <c r="G6" s="6" t="s">
        <v>31</v>
      </c>
      <c r="H6" s="6">
        <v>20</v>
      </c>
      <c r="I6" s="7" t="s">
        <v>26</v>
      </c>
    </row>
    <row r="7" spans="1:10" x14ac:dyDescent="0.3">
      <c r="A7" s="5" t="s">
        <v>5</v>
      </c>
      <c r="B7" s="6" t="s">
        <v>18</v>
      </c>
      <c r="C7" s="6">
        <v>8</v>
      </c>
      <c r="D7" s="6">
        <v>7500</v>
      </c>
      <c r="E7" s="6">
        <f t="shared" si="0"/>
        <v>90000</v>
      </c>
      <c r="F7" s="6">
        <v>2</v>
      </c>
      <c r="G7" s="6" t="s">
        <v>32</v>
      </c>
      <c r="H7" s="6">
        <v>8</v>
      </c>
      <c r="I7" s="7" t="s">
        <v>27</v>
      </c>
    </row>
    <row r="8" spans="1:10" x14ac:dyDescent="0.3">
      <c r="A8" s="5" t="s">
        <v>6</v>
      </c>
      <c r="B8" s="6" t="s">
        <v>19</v>
      </c>
      <c r="C8" s="6">
        <v>1</v>
      </c>
      <c r="D8" s="6">
        <v>3500</v>
      </c>
      <c r="E8" s="6">
        <f t="shared" si="0"/>
        <v>42000</v>
      </c>
      <c r="F8" s="6">
        <v>4</v>
      </c>
      <c r="G8" s="6" t="s">
        <v>31</v>
      </c>
      <c r="H8" s="6">
        <v>18</v>
      </c>
      <c r="I8" s="7" t="s">
        <v>26</v>
      </c>
    </row>
    <row r="9" spans="1:10" x14ac:dyDescent="0.3">
      <c r="A9" s="5" t="s">
        <v>7</v>
      </c>
      <c r="B9" s="6" t="s">
        <v>20</v>
      </c>
      <c r="C9" s="6">
        <v>10</v>
      </c>
      <c r="D9" s="6">
        <v>9000</v>
      </c>
      <c r="E9" s="6">
        <f t="shared" si="0"/>
        <v>108000</v>
      </c>
      <c r="F9" s="6">
        <v>1</v>
      </c>
      <c r="G9" s="6" t="s">
        <v>32</v>
      </c>
      <c r="H9" s="6">
        <v>5</v>
      </c>
      <c r="I9" s="7" t="s">
        <v>26</v>
      </c>
    </row>
    <row r="10" spans="1:10" x14ac:dyDescent="0.3">
      <c r="A10" s="5" t="s">
        <v>8</v>
      </c>
      <c r="B10" s="6" t="s">
        <v>18</v>
      </c>
      <c r="C10" s="6">
        <v>4</v>
      </c>
      <c r="D10" s="6">
        <v>5500</v>
      </c>
      <c r="E10" s="6">
        <f t="shared" si="0"/>
        <v>66000</v>
      </c>
      <c r="F10" s="6">
        <v>3</v>
      </c>
      <c r="G10" s="6" t="s">
        <v>32</v>
      </c>
      <c r="H10" s="6">
        <v>10</v>
      </c>
      <c r="I10" s="7" t="s">
        <v>26</v>
      </c>
    </row>
    <row r="11" spans="1:10" x14ac:dyDescent="0.3">
      <c r="A11" s="5" t="s">
        <v>9</v>
      </c>
      <c r="B11" s="6" t="s">
        <v>19</v>
      </c>
      <c r="C11" s="6">
        <v>6</v>
      </c>
      <c r="D11" s="6">
        <v>6500</v>
      </c>
      <c r="E11" s="6">
        <f t="shared" si="0"/>
        <v>78000</v>
      </c>
      <c r="F11" s="6">
        <v>5</v>
      </c>
      <c r="G11" s="6" t="s">
        <v>31</v>
      </c>
      <c r="H11" s="6">
        <v>15</v>
      </c>
      <c r="I11" s="7" t="s">
        <v>27</v>
      </c>
    </row>
    <row r="12" spans="1:10" x14ac:dyDescent="0.3">
      <c r="A12" s="5" t="s">
        <v>10</v>
      </c>
      <c r="B12" s="6" t="s">
        <v>20</v>
      </c>
      <c r="C12" s="6">
        <v>3</v>
      </c>
      <c r="D12" s="6">
        <v>4800</v>
      </c>
      <c r="E12" s="6">
        <f t="shared" si="0"/>
        <v>57600</v>
      </c>
      <c r="F12" s="6">
        <v>4</v>
      </c>
      <c r="G12" s="6" t="s">
        <v>31</v>
      </c>
      <c r="H12" s="6">
        <v>14</v>
      </c>
      <c r="I12" s="7" t="s">
        <v>26</v>
      </c>
    </row>
    <row r="13" spans="1:10" x14ac:dyDescent="0.3">
      <c r="A13" s="5" t="s">
        <v>11</v>
      </c>
      <c r="B13" s="6" t="s">
        <v>18</v>
      </c>
      <c r="C13" s="6">
        <v>7</v>
      </c>
      <c r="D13" s="6">
        <v>7000</v>
      </c>
      <c r="E13" s="6">
        <f t="shared" si="0"/>
        <v>84000</v>
      </c>
      <c r="F13" s="6">
        <v>3</v>
      </c>
      <c r="G13" s="6" t="s">
        <v>32</v>
      </c>
      <c r="H13" s="6">
        <v>9</v>
      </c>
      <c r="I13" s="7" t="s">
        <v>26</v>
      </c>
    </row>
    <row r="14" spans="1:10" x14ac:dyDescent="0.3">
      <c r="A14" s="5" t="s">
        <v>12</v>
      </c>
      <c r="B14" s="6" t="s">
        <v>19</v>
      </c>
      <c r="C14" s="6">
        <v>2</v>
      </c>
      <c r="D14" s="6">
        <v>4000</v>
      </c>
      <c r="E14" s="6">
        <f t="shared" si="0"/>
        <v>48000</v>
      </c>
      <c r="F14" s="6">
        <v>2</v>
      </c>
      <c r="G14" s="6" t="s">
        <v>32</v>
      </c>
      <c r="H14" s="6">
        <v>11</v>
      </c>
      <c r="I14" s="7" t="s">
        <v>26</v>
      </c>
    </row>
    <row r="15" spans="1:10" x14ac:dyDescent="0.3">
      <c r="A15" s="5" t="s">
        <v>13</v>
      </c>
      <c r="B15" s="6" t="s">
        <v>20</v>
      </c>
      <c r="C15" s="6">
        <v>5</v>
      </c>
      <c r="D15" s="6">
        <v>5500</v>
      </c>
      <c r="E15" s="6">
        <f t="shared" si="0"/>
        <v>66000</v>
      </c>
      <c r="F15" s="6">
        <v>4</v>
      </c>
      <c r="G15" s="6" t="s">
        <v>31</v>
      </c>
      <c r="H15" s="6">
        <v>16</v>
      </c>
      <c r="I15" s="7" t="s">
        <v>26</v>
      </c>
    </row>
    <row r="16" spans="1:10" x14ac:dyDescent="0.3">
      <c r="A16" s="5" t="s">
        <v>14</v>
      </c>
      <c r="B16" s="6" t="s">
        <v>18</v>
      </c>
      <c r="C16" s="6">
        <v>9</v>
      </c>
      <c r="D16" s="6">
        <v>8000</v>
      </c>
      <c r="E16" s="6">
        <f t="shared" si="0"/>
        <v>96000</v>
      </c>
      <c r="F16" s="6">
        <v>5</v>
      </c>
      <c r="G16" s="6" t="s">
        <v>31</v>
      </c>
      <c r="H16" s="6">
        <v>22</v>
      </c>
      <c r="I16" s="7" t="s">
        <v>27</v>
      </c>
    </row>
    <row r="17" spans="1:9" x14ac:dyDescent="0.3">
      <c r="A17" s="5" t="s">
        <v>15</v>
      </c>
      <c r="B17" s="6" t="s">
        <v>19</v>
      </c>
      <c r="C17" s="6">
        <v>4</v>
      </c>
      <c r="D17" s="6">
        <v>5200</v>
      </c>
      <c r="E17" s="6">
        <f t="shared" si="0"/>
        <v>62400</v>
      </c>
      <c r="F17" s="6">
        <v>3</v>
      </c>
      <c r="G17" s="6" t="s">
        <v>32</v>
      </c>
      <c r="H17" s="6">
        <v>13</v>
      </c>
      <c r="I17" s="7" t="s">
        <v>26</v>
      </c>
    </row>
    <row r="18" spans="1:9" x14ac:dyDescent="0.3">
      <c r="A18" s="8" t="s">
        <v>16</v>
      </c>
      <c r="B18" s="9" t="s">
        <v>20</v>
      </c>
      <c r="C18" s="9">
        <v>6</v>
      </c>
      <c r="D18" s="9">
        <v>6200</v>
      </c>
      <c r="E18" s="9">
        <f t="shared" si="0"/>
        <v>74400</v>
      </c>
      <c r="F18" s="9">
        <v>4</v>
      </c>
      <c r="G18" s="9" t="s">
        <v>31</v>
      </c>
      <c r="H18" s="9">
        <v>17</v>
      </c>
      <c r="I18" s="10" t="s">
        <v>26</v>
      </c>
    </row>
    <row r="19" spans="1:9" ht="22.8" x14ac:dyDescent="0.45">
      <c r="A19" s="23"/>
      <c r="B19" s="24" t="s">
        <v>43</v>
      </c>
      <c r="C19" s="23"/>
      <c r="D19" s="23"/>
      <c r="E19" s="25"/>
      <c r="F19" s="23"/>
      <c r="G19" s="23"/>
      <c r="H19" s="24" t="s">
        <v>44</v>
      </c>
      <c r="I19" s="23"/>
    </row>
    <row r="20" spans="1:9" x14ac:dyDescent="0.3">
      <c r="F20" s="22"/>
    </row>
    <row r="21" spans="1:9" x14ac:dyDescent="0.3">
      <c r="A21" s="15" t="s">
        <v>34</v>
      </c>
      <c r="B21" s="18" t="s">
        <v>41</v>
      </c>
      <c r="C21" s="14" t="s">
        <v>42</v>
      </c>
      <c r="H21" s="15" t="s">
        <v>36</v>
      </c>
      <c r="I21" s="14" t="s">
        <v>40</v>
      </c>
    </row>
    <row r="22" spans="1:9" x14ac:dyDescent="0.3">
      <c r="A22" s="16" t="s">
        <v>29</v>
      </c>
      <c r="B22" s="1"/>
      <c r="C22" s="17">
        <f>AVERAGE(Table1[[Annual Salary ]])</f>
        <v>70560</v>
      </c>
      <c r="H22" s="16"/>
      <c r="I22" s="17"/>
    </row>
    <row r="23" spans="1:9" x14ac:dyDescent="0.3">
      <c r="A23" s="13" t="s">
        <v>35</v>
      </c>
      <c r="B23" s="19"/>
      <c r="C23" s="12">
        <f>AVERAGE(H4:H18)</f>
        <v>13.666666666666666</v>
      </c>
      <c r="H23" s="16" t="s">
        <v>33</v>
      </c>
      <c r="I23" s="17" t="s">
        <v>34</v>
      </c>
    </row>
    <row r="24" spans="1:9" x14ac:dyDescent="0.3">
      <c r="H24" s="16" t="s">
        <v>37</v>
      </c>
      <c r="I24" s="17">
        <v>79200</v>
      </c>
    </row>
    <row r="25" spans="1:9" ht="23.4" x14ac:dyDescent="0.45">
      <c r="E25" s="11"/>
      <c r="H25" s="16" t="s">
        <v>38</v>
      </c>
      <c r="I25" s="17">
        <f>AVERAGEIF(B4:B18, "HR", E4:E18 )</f>
        <v>60480</v>
      </c>
    </row>
    <row r="26" spans="1:9" x14ac:dyDescent="0.3">
      <c r="H26" s="13" t="s">
        <v>39</v>
      </c>
      <c r="I26" s="12">
        <f>AVERAGEIF(B4:B18, "IT", E4:E18 )</f>
        <v>72000</v>
      </c>
    </row>
  </sheetData>
  <mergeCells count="1">
    <mergeCell ref="A1:J1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2026-01-27T04:25:30Z</dcterms:created>
  <dcterms:modified xsi:type="dcterms:W3CDTF">2026-01-31T15:29:24Z</dcterms:modified>
</cp:coreProperties>
</file>