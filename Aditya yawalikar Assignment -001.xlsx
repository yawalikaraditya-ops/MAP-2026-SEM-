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202b574d7987275/Documents/"/>
    </mc:Choice>
  </mc:AlternateContent>
  <xr:revisionPtr revIDLastSave="2" documentId="8_{0232E459-FFCC-4DA5-A6D5-6F99D09AE550}" xr6:coauthVersionLast="47" xr6:coauthVersionMax="47" xr10:uidLastSave="{7E19F7B0-1378-4F7A-8E45-407DC834487A}"/>
  <bookViews>
    <workbookView xWindow="-108" yWindow="-108" windowWidth="23256" windowHeight="13896" firstSheet="2" activeTab="2" xr2:uid="{00000000-000D-0000-FFFF-FFFF00000000}"/>
  </bookViews>
  <sheets>
    <sheet name="Sheet1" sheetId="1" r:id="rId1"/>
    <sheet name="Sheet2" sheetId="2" r:id="rId2"/>
    <sheet name="SHEET 4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5" l="1"/>
  <c r="J5" i="5"/>
  <c r="J4" i="5"/>
  <c r="J6" i="5"/>
  <c r="J7" i="5"/>
  <c r="J8" i="5"/>
  <c r="J9" i="5"/>
  <c r="J10" i="5"/>
  <c r="J11" i="5"/>
  <c r="J12" i="5"/>
  <c r="J13" i="5"/>
  <c r="J14" i="5"/>
  <c r="J15" i="5"/>
  <c r="J17" i="5"/>
  <c r="J18" i="5"/>
  <c r="I14" i="5"/>
  <c r="I11" i="5"/>
  <c r="G12" i="5"/>
  <c r="G9" i="5"/>
  <c r="G5" i="5"/>
  <c r="G18" i="5"/>
  <c r="G4" i="5"/>
  <c r="G6" i="5"/>
  <c r="G7" i="5"/>
  <c r="G8" i="5"/>
  <c r="G10" i="5"/>
  <c r="I10" i="5" s="1"/>
  <c r="G11" i="5"/>
  <c r="G13" i="5"/>
  <c r="G14" i="5"/>
  <c r="G15" i="5"/>
  <c r="G16" i="5"/>
  <c r="G17" i="5"/>
  <c r="I17" i="5" s="1"/>
  <c r="I18" i="5"/>
  <c r="I9" i="5"/>
  <c r="I8" i="5"/>
  <c r="I6" i="5"/>
  <c r="I7" i="5"/>
  <c r="I16" i="5"/>
  <c r="I5" i="5"/>
  <c r="K5" i="5" s="1"/>
  <c r="I13" i="5"/>
  <c r="K13" i="5" s="1"/>
  <c r="K14" i="5"/>
  <c r="I15" i="5"/>
  <c r="K15" i="5" s="1"/>
  <c r="I4" i="5"/>
  <c r="I12" i="5"/>
  <c r="K12" i="5" s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4" i="5"/>
  <c r="BY17" i="1"/>
  <c r="BW17" i="1"/>
  <c r="BV17" i="1"/>
  <c r="BU17" i="1"/>
  <c r="BT17" i="1"/>
  <c r="BS17" i="1"/>
  <c r="BR17" i="1"/>
  <c r="BQ17" i="1"/>
  <c r="BP17" i="1"/>
  <c r="BU11" i="1"/>
  <c r="BU12" i="1"/>
  <c r="BU13" i="1"/>
  <c r="BU14" i="1"/>
  <c r="BU15" i="1"/>
  <c r="BU16" i="1"/>
  <c r="BR10" i="1"/>
  <c r="H24" i="2"/>
  <c r="I24" i="2"/>
  <c r="J24" i="2"/>
  <c r="K24" i="2"/>
  <c r="L24" i="2"/>
  <c r="G24" i="2"/>
  <c r="H23" i="2"/>
  <c r="I23" i="2"/>
  <c r="J23" i="2"/>
  <c r="K23" i="2"/>
  <c r="L23" i="2"/>
  <c r="G23" i="2"/>
  <c r="H22" i="2"/>
  <c r="I22" i="2"/>
  <c r="J22" i="2"/>
  <c r="K22" i="2"/>
  <c r="L22" i="2"/>
  <c r="G22" i="2"/>
  <c r="I21" i="2"/>
  <c r="J21" i="2"/>
  <c r="K21" i="2"/>
  <c r="L21" i="2"/>
  <c r="H21" i="2"/>
  <c r="G21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H20" i="2"/>
  <c r="G20" i="2"/>
  <c r="BW9" i="1"/>
  <c r="BW10" i="1"/>
  <c r="BW11" i="1"/>
  <c r="BW12" i="1"/>
  <c r="BW13" i="1"/>
  <c r="BW14" i="1"/>
  <c r="BW15" i="1"/>
  <c r="BW16" i="1"/>
  <c r="BW8" i="1"/>
  <c r="BY8" i="1" s="1"/>
  <c r="BY10" i="1"/>
  <c r="BR12" i="1"/>
  <c r="BR13" i="1"/>
  <c r="BR14" i="1"/>
  <c r="BR15" i="1"/>
  <c r="BR16" i="1"/>
  <c r="BR11" i="1"/>
  <c r="BY9" i="1"/>
  <c r="BU9" i="1"/>
  <c r="BY13" i="1"/>
  <c r="BY14" i="1"/>
  <c r="BY15" i="1"/>
  <c r="BV8" i="1"/>
  <c r="BU8" i="1"/>
  <c r="K16" i="5" l="1"/>
  <c r="K18" i="5"/>
  <c r="K17" i="5"/>
  <c r="K11" i="5"/>
  <c r="K10" i="5"/>
  <c r="K9" i="5"/>
  <c r="K8" i="5"/>
  <c r="K7" i="5"/>
  <c r="K6" i="5"/>
  <c r="E24" i="5"/>
  <c r="E22" i="5"/>
  <c r="G24" i="5"/>
  <c r="E23" i="5"/>
  <c r="G23" i="5"/>
  <c r="E21" i="5"/>
  <c r="K4" i="5"/>
  <c r="G21" i="5"/>
  <c r="M22" i="2"/>
  <c r="M24" i="2"/>
  <c r="M23" i="2"/>
  <c r="M21" i="2"/>
  <c r="I20" i="2"/>
  <c r="J20" i="2" s="1"/>
  <c r="K20" i="2" s="1"/>
  <c r="BY12" i="1"/>
  <c r="BY11" i="1"/>
  <c r="BY16" i="1"/>
  <c r="L20" i="2" l="1"/>
  <c r="M20" i="2" l="1"/>
</calcChain>
</file>

<file path=xl/sharedStrings.xml><?xml version="1.0" encoding="utf-8"?>
<sst xmlns="http://schemas.openxmlformats.org/spreadsheetml/2006/main" count="199" uniqueCount="121">
  <si>
    <t>STOCK MANAGEMNT WITH PROPFIT &amp; LOSS</t>
  </si>
  <si>
    <t>SL. NO</t>
  </si>
  <si>
    <t>ITEM</t>
  </si>
  <si>
    <t>PURCHASE</t>
  </si>
  <si>
    <t>QUANTITY</t>
  </si>
  <si>
    <t xml:space="preserve">RATE </t>
  </si>
  <si>
    <t>AMOUNT</t>
  </si>
  <si>
    <t>SALE</t>
  </si>
  <si>
    <t>RATE</t>
  </si>
  <si>
    <t>CLOSING STOCK</t>
  </si>
  <si>
    <t>PROFIT / LOSS</t>
  </si>
  <si>
    <t>MOUSE</t>
  </si>
  <si>
    <t>KEY</t>
  </si>
  <si>
    <t>BOAT</t>
  </si>
  <si>
    <t>BOAED</t>
  </si>
  <si>
    <t>SSD</t>
  </si>
  <si>
    <t>NIC</t>
  </si>
  <si>
    <t>HDD</t>
  </si>
  <si>
    <t>VRS</t>
  </si>
  <si>
    <t>USB</t>
  </si>
  <si>
    <t xml:space="preserve">TDS ON RENT </t>
  </si>
  <si>
    <t>3rd QTR (OCT TO DEC ) 2025-26</t>
  </si>
  <si>
    <t>DATE</t>
  </si>
  <si>
    <t>PARTICULAR</t>
  </si>
  <si>
    <t>PAN NO</t>
  </si>
  <si>
    <t>TDS@10%</t>
  </si>
  <si>
    <t>TAXABLE VALUE</t>
  </si>
  <si>
    <t>01.11.2025</t>
  </si>
  <si>
    <t xml:space="preserve">RAHUL </t>
  </si>
  <si>
    <t>OM</t>
  </si>
  <si>
    <t>TOTAL</t>
  </si>
  <si>
    <t>NOV</t>
  </si>
  <si>
    <t>PAN.NO</t>
  </si>
  <si>
    <t xml:space="preserve">TAXABLE VALUE </t>
  </si>
  <si>
    <t>01.12.2025</t>
  </si>
  <si>
    <t>RAHUL</t>
  </si>
  <si>
    <t>DEC</t>
  </si>
  <si>
    <t xml:space="preserve">TOTAL </t>
  </si>
  <si>
    <t>CHALLAN DETAILS</t>
  </si>
  <si>
    <t xml:space="preserve">CH.DATE </t>
  </si>
  <si>
    <t>CHJ.NO</t>
  </si>
  <si>
    <t>BRS CODE</t>
  </si>
  <si>
    <t>MONTH</t>
  </si>
  <si>
    <t>SECTION CODE</t>
  </si>
  <si>
    <t>TAX</t>
  </si>
  <si>
    <t>INTEREST</t>
  </si>
  <si>
    <t>OTHER</t>
  </si>
  <si>
    <t>30.11.2025</t>
  </si>
  <si>
    <t>07.12.2025</t>
  </si>
  <si>
    <t xml:space="preserve">OCT </t>
  </si>
  <si>
    <t>94i</t>
  </si>
  <si>
    <t xml:space="preserve">ADITYA </t>
  </si>
  <si>
    <t xml:space="preserve">VISHAL </t>
  </si>
  <si>
    <t>HARSHAL</t>
  </si>
  <si>
    <t>PINAL</t>
  </si>
  <si>
    <t>MAHESH</t>
  </si>
  <si>
    <t>KARTIK</t>
  </si>
  <si>
    <t>KUNDAN</t>
  </si>
  <si>
    <t xml:space="preserve">PAWAN </t>
  </si>
  <si>
    <t xml:space="preserve">VINAY </t>
  </si>
  <si>
    <t>VAIBHAV</t>
  </si>
  <si>
    <t>PRANIT</t>
  </si>
  <si>
    <t>PRATHAM</t>
  </si>
  <si>
    <t>ROLL NO</t>
  </si>
  <si>
    <t>NAME</t>
  </si>
  <si>
    <t>TOTAL=</t>
  </si>
  <si>
    <t>STATIS</t>
  </si>
  <si>
    <t>MATH</t>
  </si>
  <si>
    <t>A/C</t>
  </si>
  <si>
    <t>ECO</t>
  </si>
  <si>
    <t>ETHICS</t>
  </si>
  <si>
    <t xml:space="preserve">OB </t>
  </si>
  <si>
    <t>AVERAGE</t>
  </si>
  <si>
    <t>count=</t>
  </si>
  <si>
    <t>max=</t>
  </si>
  <si>
    <t>min=</t>
  </si>
  <si>
    <t>Sr.No</t>
  </si>
  <si>
    <t xml:space="preserve">Name </t>
  </si>
  <si>
    <t>Electronic</t>
  </si>
  <si>
    <t>Apparel</t>
  </si>
  <si>
    <t>Home docter</t>
  </si>
  <si>
    <t xml:space="preserve">furniture </t>
  </si>
  <si>
    <t>footweare</t>
  </si>
  <si>
    <t>jewelry</t>
  </si>
  <si>
    <t xml:space="preserve">health care </t>
  </si>
  <si>
    <t>groceeies</t>
  </si>
  <si>
    <t>games</t>
  </si>
  <si>
    <t>book</t>
  </si>
  <si>
    <t xml:space="preserve">unit price </t>
  </si>
  <si>
    <t>quantity</t>
  </si>
  <si>
    <t>Gross sales</t>
  </si>
  <si>
    <t>Discount</t>
  </si>
  <si>
    <t xml:space="preserve">Net sales </t>
  </si>
  <si>
    <t xml:space="preserve">Tax </t>
  </si>
  <si>
    <t xml:space="preserve">Region </t>
  </si>
  <si>
    <t xml:space="preserve">North </t>
  </si>
  <si>
    <t>East</t>
  </si>
  <si>
    <t>South</t>
  </si>
  <si>
    <t>West</t>
  </si>
  <si>
    <t>SUM ()</t>
  </si>
  <si>
    <t xml:space="preserve">Total Amount </t>
  </si>
  <si>
    <t>Count()</t>
  </si>
  <si>
    <t xml:space="preserve">Total Count </t>
  </si>
  <si>
    <t>Average()</t>
  </si>
  <si>
    <t xml:space="preserve">Average </t>
  </si>
  <si>
    <t>Max()</t>
  </si>
  <si>
    <t>MAX</t>
  </si>
  <si>
    <t>Dis Amount</t>
  </si>
  <si>
    <t xml:space="preserve">Performance </t>
  </si>
  <si>
    <t>DATE VISUALIZATION &amp;FORMATTING</t>
  </si>
  <si>
    <t>Row Labels</t>
  </si>
  <si>
    <t>Grand Total</t>
  </si>
  <si>
    <t xml:space="preserve">East </t>
  </si>
  <si>
    <t xml:space="preserve">Sum of Net sales </t>
  </si>
  <si>
    <t xml:space="preserve">Count of Net sales </t>
  </si>
  <si>
    <t xml:space="preserve">Average of Net sales </t>
  </si>
  <si>
    <t xml:space="preserve">                     RETAIL SALES &amp; PERFORMANCE ANALYSIS </t>
  </si>
  <si>
    <t xml:space="preserve">                           Statistical &amp; logical function</t>
  </si>
  <si>
    <t xml:space="preserve">     GLOBAL- MART Q4  PERFORMANCE REVIEW</t>
  </si>
  <si>
    <t xml:space="preserve">              PIVOT TABLE 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</si>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</sst>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20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6"/>
      <color theme="0"/>
      <name val="Times New Roman"/>
      <family val="1"/>
    </font>
    <font>
      <sz val="18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3" fillId="0" borderId="1" xfId="0" applyFont="1" applyBorder="1"/>
    <xf numFmtId="0" fontId="0" fillId="0" borderId="9" xfId="0" applyBorder="1"/>
    <xf numFmtId="0" fontId="0" fillId="5" borderId="8" xfId="0" applyFill="1" applyBorder="1"/>
    <xf numFmtId="0" fontId="0" fillId="6" borderId="9" xfId="0" applyFill="1" applyBorder="1"/>
    <xf numFmtId="0" fontId="0" fillId="6" borderId="8" xfId="0" applyFill="1" applyBorder="1"/>
    <xf numFmtId="0" fontId="0" fillId="7" borderId="8" xfId="0" applyFill="1" applyBorder="1"/>
    <xf numFmtId="0" fontId="2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4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/>
    <xf numFmtId="4" fontId="0" fillId="0" borderId="1" xfId="0" applyNumberFormat="1" applyBorder="1"/>
    <xf numFmtId="0" fontId="0" fillId="0" borderId="2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11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5" fillId="8" borderId="0" xfId="0" applyFont="1" applyFill="1"/>
    <xf numFmtId="0" fontId="15" fillId="9" borderId="0" xfId="0" applyFont="1" applyFill="1"/>
    <xf numFmtId="0" fontId="14" fillId="8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3" fillId="0" borderId="1" xfId="0" pivotButton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1" applyBorder="1" applyAlignment="1">
      <alignment horizontal="center"/>
    </xf>
    <xf numFmtId="0" fontId="9" fillId="0" borderId="1" xfId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" fontId="0" fillId="0" borderId="14" xfId="0" applyNumberFormat="1" applyBorder="1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66"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FB-4265-8B19-D7D88A4DDE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FB-4265-8B19-D7D88A4DDE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9FB-4265-8B19-D7D88A4DDE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9FB-4265-8B19-D7D88A4DDE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9FB-4265-8B19-D7D88A4DDE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9FB-4265-8B19-D7D88A4DDE7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9FB-4265-8B19-D7D88A4DDE7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9FB-4265-8B19-D7D88A4DDE7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9FB-4265-8B19-D7D88A4DDE7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9FB-4265-8B19-D7D88A4DDE7C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9FB-4265-8B19-D7D88A4DDE7C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69FB-4265-8B19-D7D88A4DDE7C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9FB-4265-8B19-D7D88A4DD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3"/>
              <c:pt idx="0">
                <c:v>East Apparel</c:v>
              </c:pt>
              <c:pt idx="1">
                <c:v>East games</c:v>
              </c:pt>
              <c:pt idx="2">
                <c:v>East health care </c:v>
              </c:pt>
              <c:pt idx="3">
                <c:v>East  games</c:v>
              </c:pt>
              <c:pt idx="4">
                <c:v>North  Electronic</c:v>
              </c:pt>
              <c:pt idx="5">
                <c:v>North  furniture </c:v>
              </c:pt>
              <c:pt idx="6">
                <c:v>North  groceeies</c:v>
              </c:pt>
              <c:pt idx="7">
                <c:v>North  jewelry</c:v>
              </c:pt>
              <c:pt idx="8">
                <c:v>South Electronic</c:v>
              </c:pt>
              <c:pt idx="9">
                <c:v>South Home docter</c:v>
              </c:pt>
              <c:pt idx="10">
                <c:v>West book</c:v>
              </c:pt>
              <c:pt idx="11">
                <c:v>West Electronic</c:v>
              </c:pt>
              <c:pt idx="12">
                <c:v>West footweare</c:v>
              </c:pt>
            </c:strLit>
          </c:cat>
          <c:val>
            <c:numLit>
              <c:formatCode>General</c:formatCode>
              <c:ptCount val="13"/>
              <c:pt idx="0">
                <c:v>2920.5</c:v>
              </c:pt>
              <c:pt idx="1">
                <c:v>1486.8</c:v>
              </c:pt>
              <c:pt idx="2">
                <c:v>10195.200000000001</c:v>
              </c:pt>
              <c:pt idx="3">
                <c:v>11788.2</c:v>
              </c:pt>
              <c:pt idx="4">
                <c:v>16248.6</c:v>
              </c:pt>
              <c:pt idx="5">
                <c:v>4779</c:v>
              </c:pt>
              <c:pt idx="6">
                <c:v>3186</c:v>
              </c:pt>
              <c:pt idx="7">
                <c:v>8496</c:v>
              </c:pt>
              <c:pt idx="8">
                <c:v>9642.9599999999991</c:v>
              </c:pt>
              <c:pt idx="9">
                <c:v>4205.5200000000004</c:v>
              </c:pt>
              <c:pt idx="10">
                <c:v>16992</c:v>
              </c:pt>
              <c:pt idx="11">
                <c:v>9345.6</c:v>
              </c:pt>
              <c:pt idx="12">
                <c:v>8920.7999999999993</c:v>
              </c:pt>
            </c:numLit>
          </c:val>
          <c:extLst>
            <c:ext xmlns:c16="http://schemas.microsoft.com/office/drawing/2014/chart" uri="{C3380CC4-5D6E-409C-BE32-E72D297353CC}">
              <c16:uniqueId val="{0000001A-69FB-4265-8B19-D7D88A4DDE7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150891</xdr:colOff>
      <xdr:row>20</xdr:row>
      <xdr:rowOff>105625</xdr:rowOff>
    </xdr:from>
    <xdr:to>
      <xdr:col>15</xdr:col>
      <xdr:colOff>7544</xdr:colOff>
      <xdr:row>35</xdr:row>
      <xdr:rowOff>132784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42C3D-4329-45BD-BEB1-13ED182E5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823506828703" createdVersion="7" refreshedVersion="7" minRefreshableVersion="3" recordCount="15" xr:uid="{F74A69CF-B9EE-4F92-9527-C9D56570E5A4}">
  <cacheSource type="worksheet">
    <worksheetSource name="Table3"/>
  </cacheSource>
  <cacheFields count="11">
    <cacheField name="Sr.No" numFmtId="0">
      <sharedItems containsSemiMixedTypes="0" containsString="0" containsNumber="1" containsInteger="1" minValue="1" maxValue="15"/>
    </cacheField>
    <cacheField name="Name " numFmtId="0">
      <sharedItems count="10">
        <s v="Electronic"/>
        <s v="Apparel"/>
        <s v="Home docter"/>
        <s v="furniture "/>
        <s v="footweare"/>
        <s v="jewelry"/>
        <s v="health care "/>
        <s v="groceeies"/>
        <s v="games"/>
        <s v="book"/>
      </sharedItems>
    </cacheField>
    <cacheField name="unit price " numFmtId="0">
      <sharedItems containsSemiMixedTypes="0" containsString="0" containsNumber="1" containsInteger="1" minValue="100" maxValue="500"/>
    </cacheField>
    <cacheField name="quantity" numFmtId="0">
      <sharedItems containsSemiMixedTypes="0" containsString="0" containsNumber="1" containsInteger="1" minValue="10" maxValue="50"/>
    </cacheField>
    <cacheField name="Gross sales" numFmtId="2">
      <sharedItems containsSemiMixedTypes="0" containsString="0" containsNumber="1" containsInteger="1" minValue="1400" maxValue="16000"/>
    </cacheField>
    <cacheField name="Discount" numFmtId="0">
      <sharedItems containsSemiMixedTypes="0" containsString="0" containsNumber="1" minValue="0.02" maxValue="0.15"/>
    </cacheField>
    <cacheField name="Dis Amount" numFmtId="0">
      <sharedItems containsSemiMixedTypes="0" containsString="0" containsNumber="1" containsInteger="1" minValue="1260" maxValue="14400"/>
    </cacheField>
    <cacheField name="Tax " numFmtId="10">
      <sharedItems containsSemiMixedTypes="0" containsString="0" containsNumber="1" minValue="0.18" maxValue="0.18"/>
    </cacheField>
    <cacheField name="Net sales " numFmtId="2">
      <sharedItems containsSemiMixedTypes="0" containsString="0" containsNumber="1" minValue="1486.8" maxValue="16992" count="15">
        <n v="13275"/>
        <n v="2920.5"/>
        <n v="4205.5200000000004"/>
        <n v="4779"/>
        <n v="8920.7999999999993"/>
        <n v="8496"/>
        <n v="10195.200000000001"/>
        <n v="5310"/>
        <n v="3186"/>
        <n v="2973.6"/>
        <n v="1486.8"/>
        <n v="4332.96"/>
        <n v="16992"/>
        <n v="9345.6"/>
        <n v="11788.2"/>
      </sharedItems>
    </cacheField>
    <cacheField name="Performance " numFmtId="2">
      <sharedItems/>
    </cacheField>
    <cacheField name="Region " numFmtId="0">
      <sharedItems count="5">
        <s v="North "/>
        <s v="East"/>
        <s v="South"/>
        <s v="West"/>
        <s v="East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n v="500"/>
    <n v="25"/>
    <n v="12500"/>
    <n v="0.1"/>
    <n v="11250"/>
    <n v="0.18"/>
    <x v="0"/>
    <s v="High value"/>
    <x v="0"/>
  </r>
  <r>
    <n v="2"/>
    <x v="1"/>
    <n v="125"/>
    <n v="22"/>
    <n v="2750"/>
    <n v="0.125"/>
    <n v="2475"/>
    <n v="0.18"/>
    <x v="1"/>
    <s v=" standard "/>
    <x v="1"/>
  </r>
  <r>
    <n v="3"/>
    <x v="2"/>
    <n v="120"/>
    <n v="33"/>
    <n v="3960"/>
    <n v="0.1"/>
    <n v="3564"/>
    <n v="0.18"/>
    <x v="2"/>
    <s v=" standard "/>
    <x v="2"/>
  </r>
  <r>
    <n v="4"/>
    <x v="3"/>
    <n v="100"/>
    <n v="45"/>
    <n v="4500"/>
    <n v="0.08"/>
    <n v="4050"/>
    <n v="0.18"/>
    <x v="3"/>
    <s v=" standard "/>
    <x v="0"/>
  </r>
  <r>
    <n v="5"/>
    <x v="4"/>
    <n v="400"/>
    <n v="21"/>
    <n v="8400"/>
    <n v="2.5000000000000001E-2"/>
    <n v="7560"/>
    <n v="0.18"/>
    <x v="4"/>
    <s v="High value"/>
    <x v="3"/>
  </r>
  <r>
    <n v="6"/>
    <x v="5"/>
    <n v="250"/>
    <n v="32"/>
    <n v="8000"/>
    <n v="0.15"/>
    <n v="7200"/>
    <n v="0.18"/>
    <x v="5"/>
    <s v="High value"/>
    <x v="0"/>
  </r>
  <r>
    <n v="7"/>
    <x v="6"/>
    <n v="320"/>
    <n v="30"/>
    <n v="9600"/>
    <n v="0.12"/>
    <n v="8640"/>
    <n v="0.18"/>
    <x v="6"/>
    <s v="High value"/>
    <x v="1"/>
  </r>
  <r>
    <n v="8"/>
    <x v="0"/>
    <n v="250"/>
    <n v="20"/>
    <n v="5000"/>
    <n v="0.1"/>
    <n v="4500"/>
    <n v="0.18"/>
    <x v="7"/>
    <s v="High value"/>
    <x v="2"/>
  </r>
  <r>
    <n v="9"/>
    <x v="7"/>
    <n v="300"/>
    <n v="10"/>
    <n v="3000"/>
    <n v="0.13"/>
    <n v="2700"/>
    <n v="0.18"/>
    <x v="8"/>
    <s v=" standard "/>
    <x v="0"/>
  </r>
  <r>
    <n v="10"/>
    <x v="0"/>
    <n v="200"/>
    <n v="14"/>
    <n v="2800"/>
    <n v="0.08"/>
    <n v="2520"/>
    <n v="0.18"/>
    <x v="9"/>
    <s v=" standard "/>
    <x v="0"/>
  </r>
  <r>
    <n v="11"/>
    <x v="8"/>
    <n v="100"/>
    <n v="14"/>
    <n v="1400"/>
    <n v="0.1"/>
    <n v="1260"/>
    <n v="0.18"/>
    <x v="10"/>
    <s v=" standard "/>
    <x v="1"/>
  </r>
  <r>
    <n v="12"/>
    <x v="0"/>
    <n v="240"/>
    <n v="17"/>
    <n v="4080"/>
    <n v="0.02"/>
    <n v="3672"/>
    <n v="0.18"/>
    <x v="11"/>
    <s v=" standard "/>
    <x v="2"/>
  </r>
  <r>
    <n v="13"/>
    <x v="9"/>
    <n v="500"/>
    <n v="32"/>
    <n v="16000"/>
    <n v="8.5000000000000006E-2"/>
    <n v="14400"/>
    <n v="0.18"/>
    <x v="12"/>
    <s v="High value"/>
    <x v="3"/>
  </r>
  <r>
    <n v="14"/>
    <x v="0"/>
    <n v="440"/>
    <n v="20"/>
    <n v="8800"/>
    <n v="0.12"/>
    <n v="7920"/>
    <n v="0.18"/>
    <x v="13"/>
    <s v="High value"/>
    <x v="3"/>
  </r>
  <r>
    <n v="15"/>
    <x v="8"/>
    <n v="222"/>
    <n v="50"/>
    <n v="11100"/>
    <n v="0.15"/>
    <n v="9990"/>
    <n v="0.18"/>
    <x v="14"/>
    <s v="High value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467CD-7749-4044-8AEC-7DC72D2F456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13:O16" firstHeaderRow="1" firstDataRow="1" firstDataCol="1"/>
  <pivotFields count="11">
    <pivotField showAll="0"/>
    <pivotField axis="axisRow" showAll="0">
      <items count="11">
        <item h="1" x="1"/>
        <item h="1" x="9"/>
        <item x="0"/>
        <item h="1" x="4"/>
        <item h="1" x="3"/>
        <item h="1" x="8"/>
        <item h="1" x="7"/>
        <item h="1" x="6"/>
        <item h="1" x="2"/>
        <item h="1"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/>
    <pivotField showAll="0"/>
    <pivotField axis="axisRow" multipleItemSelectionAllowed="1" showAll="0">
      <items count="6">
        <item h="1" x="1"/>
        <item h="1" x="4"/>
        <item x="0"/>
        <item h="1" x="2"/>
        <item h="1" x="3"/>
        <item t="default"/>
      </items>
    </pivotField>
  </pivotFields>
  <rowFields count="2">
    <field x="1"/>
    <field x="10"/>
  </rowFields>
  <rowItems count="3">
    <i>
      <x v="2"/>
    </i>
    <i r="1">
      <x v="2"/>
    </i>
    <i t="grand">
      <x/>
    </i>
  </rowItems>
  <colItems count="1">
    <i/>
  </colItems>
  <dataFields count="1">
    <dataField name="Average of Net sales " fld="8" subtotal="average" baseField="0" baseItem="0"/>
  </dataFields>
  <formats count="7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1" count="0" selected="0"/>
          <reference field="10" count="0"/>
        </references>
      </pivotArea>
    </format>
    <format dxfId="17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AD1B4-96DE-4FFD-BBE1-E90F8FA7448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8:O11" firstHeaderRow="1" firstDataRow="1" firstDataCol="1"/>
  <pivotFields count="11">
    <pivotField showAll="0"/>
    <pivotField axis="axisRow" showAll="0">
      <items count="11">
        <item h="1" x="1"/>
        <item h="1" x="9"/>
        <item x="0"/>
        <item h="1" x="4"/>
        <item h="1" x="3"/>
        <item h="1" x="8"/>
        <item h="1" x="7"/>
        <item h="1" x="6"/>
        <item h="1" x="2"/>
        <item h="1"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/>
    <pivotField showAll="0"/>
    <pivotField axis="axisRow" multipleItemSelectionAllowed="1" showAll="0">
      <items count="6">
        <item h="1" x="1"/>
        <item h="1" x="4"/>
        <item x="0"/>
        <item h="1" x="2"/>
        <item h="1" x="3"/>
        <item t="default"/>
      </items>
    </pivotField>
  </pivotFields>
  <rowFields count="2">
    <field x="1"/>
    <field x="10"/>
  </rowFields>
  <rowItems count="3">
    <i>
      <x v="2"/>
    </i>
    <i r="1">
      <x v="2"/>
    </i>
    <i t="grand">
      <x/>
    </i>
  </rowItems>
  <colItems count="1">
    <i/>
  </colItems>
  <dataFields count="1">
    <dataField name="Count of Net sales " fld="8" subtotal="count" baseField="0" baseItem="0"/>
  </dataFields>
  <formats count="7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1" count="0" selected="0"/>
          <reference field="10" count="0"/>
        </references>
      </pivotArea>
    </format>
    <format dxfId="24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D4D96-9D49-4B43-B8E9-F19D5B3D036A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3:O6" firstHeaderRow="1" firstDataRow="1" firstDataCol="1"/>
  <pivotFields count="11">
    <pivotField showAll="0"/>
    <pivotField axis="axisRow" showAll="0">
      <items count="11">
        <item h="1" x="1"/>
        <item h="1" x="9"/>
        <item x="0"/>
        <item h="1" x="4"/>
        <item h="1" x="3"/>
        <item h="1" x="8"/>
        <item h="1" x="7"/>
        <item h="1" x="6"/>
        <item h="1" x="2"/>
        <item h="1"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/>
    <pivotField showAll="0"/>
    <pivotField axis="axisRow" multipleItemSelectionAllowed="1" showAll="0">
      <items count="6">
        <item h="1" x="1"/>
        <item h="1" x="4"/>
        <item x="0"/>
        <item h="1" x="2"/>
        <item h="1" x="3"/>
        <item t="default"/>
      </items>
    </pivotField>
  </pivotFields>
  <rowFields count="2">
    <field x="1"/>
    <field x="10"/>
  </rowFields>
  <rowItems count="3">
    <i>
      <x v="2"/>
    </i>
    <i r="1">
      <x v="2"/>
    </i>
    <i t="grand">
      <x/>
    </i>
  </rowItems>
  <colItems count="1">
    <i/>
  </colItems>
  <dataFields count="1">
    <dataField name="Sum of Net sales " fld="8" baseField="0" baseItem="0"/>
  </dataFields>
  <formats count="11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2">
          <reference field="1" count="0" selected="0"/>
          <reference field="10" count="0"/>
        </references>
      </pivotArea>
    </format>
    <format dxfId="35">
      <pivotArea dataOnly="0" labelOnly="1" outline="0" axis="axisValues" fieldPosition="0"/>
    </format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2">
      <pivotArea field="1" type="button" dataOnly="0" labelOnly="1" outline="0" axis="axisRow" fieldPosition="0"/>
    </format>
    <format dxfId="31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DC047-F146-4168-A011-58BE068BD40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Q3:R22" firstHeaderRow="1" firstDataRow="1" firstDataCol="1"/>
  <pivotFields count="11">
    <pivotField showAll="0"/>
    <pivotField axis="axisRow" showAll="0">
      <items count="11">
        <item x="1"/>
        <item x="9"/>
        <item x="0"/>
        <item x="4"/>
        <item x="3"/>
        <item x="8"/>
        <item x="7"/>
        <item x="6"/>
        <item x="2"/>
        <item x="5"/>
        <item t="default"/>
      </items>
    </pivotField>
    <pivotField showAll="0"/>
    <pivotField showAll="0"/>
    <pivotField numFmtId="2" showAll="0"/>
    <pivotField showAll="0"/>
    <pivotField showAll="0"/>
    <pivotField numFmtId="10" showAll="0"/>
    <pivotField dataField="1" numFmtId="2" showAll="0">
      <items count="16">
        <item x="10"/>
        <item x="1"/>
        <item x="9"/>
        <item x="8"/>
        <item x="2"/>
        <item x="11"/>
        <item x="3"/>
        <item x="7"/>
        <item x="5"/>
        <item x="4"/>
        <item x="13"/>
        <item x="6"/>
        <item x="14"/>
        <item x="0"/>
        <item x="12"/>
        <item t="default"/>
      </items>
    </pivotField>
    <pivotField showAll="0"/>
    <pivotField axis="axisRow" showAll="0">
      <items count="6">
        <item x="1"/>
        <item x="4"/>
        <item x="0"/>
        <item x="2"/>
        <item x="3"/>
        <item t="default"/>
      </items>
    </pivotField>
  </pivotFields>
  <rowFields count="2">
    <field x="10"/>
    <field x="1"/>
  </rowFields>
  <rowItems count="19">
    <i>
      <x/>
    </i>
    <i r="1">
      <x/>
    </i>
    <i r="1">
      <x v="5"/>
    </i>
    <i r="1">
      <x v="7"/>
    </i>
    <i>
      <x v="1"/>
    </i>
    <i r="1">
      <x v="5"/>
    </i>
    <i>
      <x v="2"/>
    </i>
    <i r="1">
      <x v="2"/>
    </i>
    <i r="1">
      <x v="4"/>
    </i>
    <i r="1">
      <x v="6"/>
    </i>
    <i r="1">
      <x v="9"/>
    </i>
    <i>
      <x v="3"/>
    </i>
    <i r="1">
      <x v="2"/>
    </i>
    <i r="1">
      <x v="8"/>
    </i>
    <i>
      <x v="4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Net sales " fld="8" baseField="0" baseItem="0"/>
  </dataFields>
  <formats count="13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0" type="button" dataOnly="0" labelOnly="1" outline="0" axis="axisRow" fieldPosition="0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1" count="3">
            <x v="0"/>
            <x v="5"/>
            <x v="7"/>
          </reference>
          <reference field="10" count="1" selected="0">
            <x v="0"/>
          </reference>
        </references>
      </pivotArea>
    </format>
    <format dxfId="48">
      <pivotArea dataOnly="0" labelOnly="1" fieldPosition="0">
        <references count="2">
          <reference field="1" count="1">
            <x v="5"/>
          </reference>
          <reference field="10" count="1" selected="0">
            <x v="1"/>
          </reference>
        </references>
      </pivotArea>
    </format>
    <format dxfId="47">
      <pivotArea dataOnly="0" labelOnly="1" fieldPosition="0">
        <references count="2">
          <reference field="1" count="4">
            <x v="2"/>
            <x v="4"/>
            <x v="6"/>
            <x v="9"/>
          </reference>
          <reference field="10" count="1" selected="0">
            <x v="2"/>
          </reference>
        </references>
      </pivotArea>
    </format>
    <format dxfId="46">
      <pivotArea dataOnly="0" labelOnly="1" fieldPosition="0">
        <references count="2">
          <reference field="1" count="2">
            <x v="2"/>
            <x v="8"/>
          </reference>
          <reference field="10" count="1" selected="0">
            <x v="3"/>
          </reference>
        </references>
      </pivotArea>
    </format>
    <format dxfId="45">
      <pivotArea dataOnly="0" labelOnly="1" fieldPosition="0">
        <references count="2">
          <reference field="1" count="3">
            <x v="1"/>
            <x v="2"/>
            <x v="3"/>
          </reference>
          <reference field="10" count="1" selected="0">
            <x v="4"/>
          </reference>
        </references>
      </pivotArea>
    </format>
    <format dxfId="44">
      <pivotArea dataOnly="0" labelOnly="1" outline="0" axis="axisValues" fieldPosition="0"/>
    </format>
    <format dxfId="43">
      <pivotArea field="10" type="button" dataOnly="0" labelOnly="1" outline="0" axis="axisRow" fieldPosition="0"/>
    </format>
    <format dxfId="42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3C1343-1DBB-439B-8AC4-12F8337B11E5}" name="Table2" displayName="Table2" ref="E4:M24" totalsRowShown="0" headerRowDxfId="65" dataDxfId="64">
  <autoFilter ref="E4:M24" xr:uid="{983C1343-1DBB-439B-8AC4-12F8337B11E5}"/>
  <tableColumns count="9">
    <tableColumn id="1" xr3:uid="{DA26AD3E-823E-4F8B-8392-312D7F3F7626}" name="ROLL NO" dataDxfId="63"/>
    <tableColumn id="2" xr3:uid="{2BC12B96-49F9-4D25-B19B-8C9CF3197149}" name="NAME" dataDxfId="62"/>
    <tableColumn id="3" xr3:uid="{7B2D4025-DAA3-4D62-923F-4ADCC5BAEF2D}" name="STATIS" dataDxfId="61"/>
    <tableColumn id="4" xr3:uid="{E10F9369-F640-4151-B189-2A947DB2C642}" name="MATH" dataDxfId="60"/>
    <tableColumn id="5" xr3:uid="{0F8CCA2D-4711-40FB-96E3-6479A8A69B9C}" name="A/C" dataDxfId="59"/>
    <tableColumn id="6" xr3:uid="{63C0FEBC-7244-475A-B770-24F9EEF25BC3}" name="ECO" dataDxfId="58"/>
    <tableColumn id="7" xr3:uid="{CAF968B6-BFE6-4B4D-B037-A202D7773C0E}" name="ETHICS" dataDxfId="57"/>
    <tableColumn id="8" xr3:uid="{2C76A3FB-9177-47B4-BD4F-7B13C4B45688}" name="OB " dataDxfId="56"/>
    <tableColumn id="9" xr3:uid="{075E5815-9F77-4C30-A49A-782E8B6A6472}" name="TOTAL" dataDxfId="55">
      <calculatedColumnFormula>SUM(Table2[[#This Row],[STATIS]:[OB 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5804DA-79BF-428D-8CCC-424FDE82E1E3}" name="Table3" displayName="Table3" ref="A3:L18" totalsRowShown="0" headerRowDxfId="16" dataDxfId="14" headerRowBorderDxfId="15" tableBorderDxfId="13" totalsRowBorderDxfId="12">
  <autoFilter ref="A3:L18" xr:uid="{9D5804DA-79BF-428D-8CCC-424FDE82E1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71542EF-BED2-43A9-ACB0-266187C988C8}" name="Sr.No" dataDxfId="11"/>
    <tableColumn id="2" xr3:uid="{D9A3E7F1-B8D5-49B8-A7C5-1FA587FC4AEF}" name="Name " dataDxfId="10"/>
    <tableColumn id="3" xr3:uid="{20B46CC8-AEC8-4A84-9E8C-567238CB3D48}" name="unit price " dataDxfId="9"/>
    <tableColumn id="4" xr3:uid="{C8581B03-D29C-4ED7-B94D-AAFEEF3047BC}" name="quantity" dataDxfId="8"/>
    <tableColumn id="5" xr3:uid="{05970E84-EE07-4E8E-8CD5-3ECBC6B37E52}" name="Gross sales" dataDxfId="7">
      <calculatedColumnFormula>SUM(C4*D4)</calculatedColumnFormula>
    </tableColumn>
    <tableColumn id="6" xr3:uid="{EAE1284C-E249-4A36-9503-1745ACD106D2}" name="Discount" dataDxfId="6"/>
    <tableColumn id="7" xr3:uid="{FECCD20F-6ED1-421A-BDB4-A8BF9BEF9C1D}" name="Dis Amount" dataDxfId="1">
      <calculatedColumnFormula>(E4*10/100)</calculatedColumnFormula>
    </tableColumn>
    <tableColumn id="8" xr3:uid="{8976F34D-4193-4E1C-AA9C-0041F3FEDFAB}" name="Tax " dataDxfId="5"/>
    <tableColumn id="9" xr3:uid="{11B0DC2D-063A-4C51-984F-B81E637DD7C4}" name="Net sales " dataDxfId="2">
      <calculatedColumnFormula>SUM(E4-G4)</calculatedColumnFormula>
    </tableColumn>
    <tableColumn id="11" xr3:uid="{1980A2B3-497F-48CD-8380-C906B049B431}" name="Revenue" dataDxfId="0">
      <calculatedColumnFormula>I4*(1+18%)</calculatedColumnFormula>
    </tableColumn>
    <tableColumn id="12" xr3:uid="{F21F6CED-2D7F-4526-98AD-E5EFCDB42031}" name="Performance " dataDxfId="4">
      <calculatedColumnFormula>IF(I4&gt;=5000, "High value", " standard ")</calculatedColumnFormula>
    </tableColumn>
    <tableColumn id="10" xr3:uid="{78A1849F-9322-41FF-B776-28BD9676DD36}" name="Region " dataDxfId="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BDB44-17F1-495D-992E-B364C7AAA7F3}" name="Table4" displayName="Table4" ref="B21:H25" headerRowCount="0" totalsRowShown="0">
  <tableColumns count="7">
    <tableColumn id="1" xr3:uid="{E0FC71E2-0AE3-45B9-AA0C-D26DFD829C56}" name="Column1"/>
    <tableColumn id="2" xr3:uid="{F292002D-C288-4A1F-B4E5-A5198DD70CEC}" name="Column2"/>
    <tableColumn id="3" xr3:uid="{52CE8660-8466-4970-A4B4-99D3471C293E}" name="Column3"/>
    <tableColumn id="4" xr3:uid="{448022F0-8CBE-49A0-8C4F-A57125301873}" name="Column4"/>
    <tableColumn id="5" xr3:uid="{0C153871-4628-4687-8A45-A3CFD2EFFE68}" name="Column5"/>
    <tableColumn id="6" xr3:uid="{DA768030-8AE2-4BCE-B5A2-E84CF50C86BE}" name="Column6"/>
    <tableColumn id="7" xr3:uid="{8E9726B7-D154-48DA-A7E2-7611D47E0516}" name="Column7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DS@10%25" TargetMode="External"/><Relationship Id="rId2" Type="http://schemas.openxmlformats.org/officeDocument/2006/relationships/hyperlink" Target="mailto:TDS@10%25" TargetMode="External"/><Relationship Id="rId1" Type="http://schemas.openxmlformats.org/officeDocument/2006/relationships/hyperlink" Target="mailto:TDS@10%2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CC61"/>
  <sheetViews>
    <sheetView topLeftCell="BL1" zoomScale="95" zoomScaleNormal="85" workbookViewId="0">
      <selection activeCell="BY21" sqref="BY21"/>
    </sheetView>
  </sheetViews>
  <sheetFormatPr defaultRowHeight="14.4" x14ac:dyDescent="0.3"/>
  <cols>
    <col min="67" max="67" width="8.109375" customWidth="1"/>
    <col min="68" max="68" width="12.77734375" customWidth="1"/>
    <col min="69" max="69" width="18.5546875" customWidth="1"/>
    <col min="70" max="70" width="13.88671875" customWidth="1"/>
    <col min="71" max="71" width="19.6640625" customWidth="1"/>
    <col min="72" max="72" width="15.109375" customWidth="1"/>
    <col min="75" max="75" width="12.5546875" bestFit="1" customWidth="1"/>
  </cols>
  <sheetData>
    <row r="4" spans="7:81" ht="46.2" x14ac:dyDescent="0.85">
      <c r="BN4" s="67" t="s">
        <v>0</v>
      </c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</row>
    <row r="5" spans="7:81" ht="14.4" customHeight="1" x14ac:dyDescent="0.3">
      <c r="BN5" s="72" t="s">
        <v>1</v>
      </c>
      <c r="BO5" s="73" t="s">
        <v>2</v>
      </c>
      <c r="BP5" s="69" t="s">
        <v>3</v>
      </c>
      <c r="BQ5" s="70"/>
      <c r="BR5" s="70"/>
      <c r="BS5" s="75" t="s">
        <v>7</v>
      </c>
      <c r="BT5" s="76"/>
      <c r="BU5" s="76"/>
      <c r="BV5" s="78" t="s">
        <v>9</v>
      </c>
      <c r="BW5" s="79"/>
      <c r="BX5" s="79"/>
      <c r="BY5" s="81" t="s">
        <v>10</v>
      </c>
      <c r="BZ5" s="82"/>
      <c r="CA5" s="82"/>
    </row>
    <row r="6" spans="7:81" x14ac:dyDescent="0.3">
      <c r="L6" s="64"/>
      <c r="M6" s="64"/>
      <c r="N6" s="64"/>
      <c r="O6" s="64"/>
      <c r="P6" s="64"/>
      <c r="Q6" s="64"/>
      <c r="R6" s="64"/>
      <c r="S6" s="64"/>
      <c r="T6" s="64"/>
      <c r="U6" s="64"/>
      <c r="BN6" s="72"/>
      <c r="BO6" s="73"/>
      <c r="BP6" s="71"/>
      <c r="BQ6" s="71"/>
      <c r="BR6" s="71"/>
      <c r="BS6" s="76"/>
      <c r="BT6" s="76"/>
      <c r="BU6" s="76"/>
      <c r="BV6" s="80"/>
      <c r="BW6" s="79"/>
      <c r="BX6" s="79"/>
      <c r="BY6" s="82"/>
      <c r="BZ6" s="82"/>
      <c r="CA6" s="82"/>
    </row>
    <row r="7" spans="7:81" ht="14.4" customHeight="1" x14ac:dyDescent="0.3">
      <c r="BN7" s="72"/>
      <c r="BO7" s="74"/>
      <c r="BP7" s="6" t="s">
        <v>4</v>
      </c>
      <c r="BQ7" s="12" t="s">
        <v>5</v>
      </c>
      <c r="BR7" s="7" t="s">
        <v>6</v>
      </c>
      <c r="BS7" s="5" t="s">
        <v>4</v>
      </c>
      <c r="BT7" s="13" t="s">
        <v>8</v>
      </c>
      <c r="BU7" s="5" t="s">
        <v>6</v>
      </c>
      <c r="BV7" s="8" t="s">
        <v>4</v>
      </c>
      <c r="BW7" s="8" t="s">
        <v>6</v>
      </c>
      <c r="BX7" s="8"/>
      <c r="BY7" s="82"/>
      <c r="BZ7" s="82"/>
      <c r="CA7" s="82"/>
    </row>
    <row r="8" spans="7:81" ht="14.4" customHeight="1" x14ac:dyDescent="0.3">
      <c r="BN8" s="9">
        <v>1</v>
      </c>
      <c r="BO8" s="1" t="s">
        <v>11</v>
      </c>
      <c r="BP8" s="10">
        <v>25</v>
      </c>
      <c r="BQ8" s="14">
        <v>350</v>
      </c>
      <c r="BR8" s="14">
        <v>8750</v>
      </c>
      <c r="BS8" s="11">
        <v>15</v>
      </c>
      <c r="BT8" s="14">
        <v>375</v>
      </c>
      <c r="BU8" s="14">
        <f>BS8*BT8</f>
        <v>5625</v>
      </c>
      <c r="BV8" s="11">
        <f>BP8-BS8</f>
        <v>10</v>
      </c>
      <c r="BW8" s="14">
        <f>BV8*BQ8</f>
        <v>3500</v>
      </c>
      <c r="BX8" s="4"/>
      <c r="BY8" s="83">
        <f>BW8+BU8-BR8</f>
        <v>375</v>
      </c>
      <c r="BZ8" s="83"/>
      <c r="CA8" s="83"/>
    </row>
    <row r="9" spans="7:81" ht="18" x14ac:dyDescent="0.35">
      <c r="G9" s="64"/>
      <c r="H9" s="64"/>
      <c r="I9" s="64"/>
      <c r="J9" s="64"/>
      <c r="K9" s="64"/>
      <c r="L9" s="64"/>
      <c r="M9" s="64"/>
      <c r="N9" s="64"/>
      <c r="O9" s="64"/>
      <c r="P9" s="64"/>
      <c r="BN9" s="9">
        <v>2</v>
      </c>
      <c r="BO9" s="3" t="s">
        <v>12</v>
      </c>
      <c r="BP9" s="2">
        <v>20</v>
      </c>
      <c r="BQ9" s="14">
        <v>190</v>
      </c>
      <c r="BR9" s="14">
        <v>3800</v>
      </c>
      <c r="BS9" s="11">
        <v>12</v>
      </c>
      <c r="BT9" s="15">
        <v>210</v>
      </c>
      <c r="BU9" s="14">
        <f t="shared" ref="BU9:BU16" si="0">BS9*BT9</f>
        <v>2520</v>
      </c>
      <c r="BV9" s="11">
        <v>8</v>
      </c>
      <c r="BW9" s="14">
        <f t="shared" ref="BW9:BW16" si="1">BV9*BQ9</f>
        <v>1520</v>
      </c>
      <c r="BX9" s="4"/>
      <c r="BY9" s="83">
        <f>BW9+BU9-BR9</f>
        <v>240</v>
      </c>
      <c r="BZ9" s="83"/>
      <c r="CA9" s="83"/>
    </row>
    <row r="10" spans="7:81" ht="15.6" x14ac:dyDescent="0.3">
      <c r="BN10" s="9">
        <v>3</v>
      </c>
      <c r="BO10" s="1" t="s">
        <v>13</v>
      </c>
      <c r="BP10" s="2">
        <v>25</v>
      </c>
      <c r="BQ10" s="14">
        <v>1750</v>
      </c>
      <c r="BR10" s="14">
        <f>(BP10*BQ10)</f>
        <v>43750</v>
      </c>
      <c r="BS10" s="11">
        <v>20</v>
      </c>
      <c r="BT10" s="15">
        <v>1875</v>
      </c>
      <c r="BU10" s="14">
        <v>25</v>
      </c>
      <c r="BV10" s="11">
        <v>5</v>
      </c>
      <c r="BW10" s="14">
        <f t="shared" si="1"/>
        <v>8750</v>
      </c>
      <c r="BX10" s="4"/>
      <c r="BY10" s="83">
        <f t="shared" ref="BY10:BY16" si="2">BW10+BU10-BR10</f>
        <v>-34975</v>
      </c>
      <c r="BZ10" s="83"/>
      <c r="CA10" s="83"/>
    </row>
    <row r="11" spans="7:81" ht="15.6" x14ac:dyDescent="0.3">
      <c r="BN11" s="9">
        <v>4</v>
      </c>
      <c r="BO11" s="1" t="s">
        <v>14</v>
      </c>
      <c r="BP11" s="2">
        <v>81</v>
      </c>
      <c r="BQ11" s="15">
        <v>180</v>
      </c>
      <c r="BR11" s="14">
        <f>BP11*BQ11</f>
        <v>14580</v>
      </c>
      <c r="BS11" s="11">
        <v>70</v>
      </c>
      <c r="BT11" s="14">
        <v>84</v>
      </c>
      <c r="BU11" s="14">
        <f t="shared" si="0"/>
        <v>5880</v>
      </c>
      <c r="BV11" s="11">
        <v>11</v>
      </c>
      <c r="BW11" s="14">
        <f t="shared" si="1"/>
        <v>1980</v>
      </c>
      <c r="BX11" s="4"/>
      <c r="BY11" s="83">
        <f t="shared" si="2"/>
        <v>-6720</v>
      </c>
      <c r="BZ11" s="83"/>
      <c r="CA11" s="83"/>
    </row>
    <row r="12" spans="7:81" ht="15.6" x14ac:dyDescent="0.3">
      <c r="BN12" s="9">
        <v>5</v>
      </c>
      <c r="BO12" s="1" t="s">
        <v>15</v>
      </c>
      <c r="BP12" s="2">
        <v>30</v>
      </c>
      <c r="BQ12" s="14">
        <v>150</v>
      </c>
      <c r="BR12" s="14">
        <f t="shared" ref="BR12:BR16" si="3">BP12*BQ12</f>
        <v>4500</v>
      </c>
      <c r="BS12" s="11">
        <v>28</v>
      </c>
      <c r="BT12" s="15">
        <v>130</v>
      </c>
      <c r="BU12" s="14">
        <f t="shared" si="0"/>
        <v>3640</v>
      </c>
      <c r="BV12" s="11">
        <v>2</v>
      </c>
      <c r="BW12" s="14">
        <f t="shared" si="1"/>
        <v>300</v>
      </c>
      <c r="BX12" s="4"/>
      <c r="BY12" s="83">
        <f t="shared" si="2"/>
        <v>-560</v>
      </c>
      <c r="BZ12" s="83"/>
      <c r="CA12" s="83"/>
    </row>
    <row r="13" spans="7:81" ht="15.6" x14ac:dyDescent="0.3">
      <c r="BN13" s="9">
        <v>6</v>
      </c>
      <c r="BO13" s="1" t="s">
        <v>16</v>
      </c>
      <c r="BP13" s="2">
        <v>25</v>
      </c>
      <c r="BQ13" s="15">
        <v>145</v>
      </c>
      <c r="BR13" s="14">
        <f t="shared" si="3"/>
        <v>3625</v>
      </c>
      <c r="BS13" s="11">
        <v>16</v>
      </c>
      <c r="BT13" s="15">
        <v>175</v>
      </c>
      <c r="BU13" s="14">
        <f t="shared" si="0"/>
        <v>2800</v>
      </c>
      <c r="BV13" s="11">
        <v>9</v>
      </c>
      <c r="BW13" s="14">
        <f t="shared" si="1"/>
        <v>1305</v>
      </c>
      <c r="BX13" s="4"/>
      <c r="BY13" s="83">
        <f t="shared" si="2"/>
        <v>480</v>
      </c>
      <c r="BZ13" s="83"/>
      <c r="CA13" s="83"/>
    </row>
    <row r="14" spans="7:81" ht="15.6" x14ac:dyDescent="0.3">
      <c r="BN14" s="9">
        <v>7</v>
      </c>
      <c r="BO14" s="1" t="s">
        <v>17</v>
      </c>
      <c r="BP14" s="2">
        <v>22</v>
      </c>
      <c r="BQ14" s="15">
        <v>125</v>
      </c>
      <c r="BR14" s="14">
        <f t="shared" si="3"/>
        <v>2750</v>
      </c>
      <c r="BS14" s="11">
        <v>18</v>
      </c>
      <c r="BT14" s="15">
        <v>185</v>
      </c>
      <c r="BU14" s="14">
        <f t="shared" si="0"/>
        <v>3330</v>
      </c>
      <c r="BV14" s="11">
        <v>4</v>
      </c>
      <c r="BW14" s="14">
        <f t="shared" si="1"/>
        <v>500</v>
      </c>
      <c r="BX14" s="4"/>
      <c r="BY14" s="83">
        <f t="shared" si="2"/>
        <v>1080</v>
      </c>
      <c r="BZ14" s="83"/>
      <c r="CA14" s="83"/>
    </row>
    <row r="15" spans="7:81" ht="15.6" x14ac:dyDescent="0.3">
      <c r="BN15" s="9">
        <v>8</v>
      </c>
      <c r="BO15" s="1" t="s">
        <v>18</v>
      </c>
      <c r="BP15" s="2">
        <v>18</v>
      </c>
      <c r="BQ15" s="15">
        <v>144</v>
      </c>
      <c r="BR15" s="14">
        <f t="shared" si="3"/>
        <v>2592</v>
      </c>
      <c r="BS15" s="11">
        <v>15</v>
      </c>
      <c r="BT15" s="15">
        <v>124</v>
      </c>
      <c r="BU15" s="14">
        <f t="shared" si="0"/>
        <v>1860</v>
      </c>
      <c r="BV15" s="11">
        <v>3</v>
      </c>
      <c r="BW15" s="14">
        <f t="shared" si="1"/>
        <v>432</v>
      </c>
      <c r="BX15" s="4"/>
      <c r="BY15" s="83">
        <f t="shared" si="2"/>
        <v>-300</v>
      </c>
      <c r="BZ15" s="83"/>
      <c r="CA15" s="83"/>
    </row>
    <row r="16" spans="7:81" ht="15.6" x14ac:dyDescent="0.3">
      <c r="BN16" s="21">
        <v>9</v>
      </c>
      <c r="BO16" s="22" t="s">
        <v>19</v>
      </c>
      <c r="BP16" s="23">
        <v>28</v>
      </c>
      <c r="BQ16" s="24">
        <v>125</v>
      </c>
      <c r="BR16" s="24">
        <f t="shared" si="3"/>
        <v>3500</v>
      </c>
      <c r="BS16" s="25">
        <v>24</v>
      </c>
      <c r="BT16" s="26">
        <v>251</v>
      </c>
      <c r="BU16" s="24">
        <f t="shared" si="0"/>
        <v>6024</v>
      </c>
      <c r="BV16" s="25">
        <v>4</v>
      </c>
      <c r="BW16" s="24">
        <f t="shared" si="1"/>
        <v>500</v>
      </c>
      <c r="BX16" s="27"/>
      <c r="BY16" s="77">
        <f t="shared" si="2"/>
        <v>3024</v>
      </c>
      <c r="BZ16" s="77"/>
      <c r="CA16" s="77"/>
    </row>
    <row r="17" spans="66:79" x14ac:dyDescent="0.3">
      <c r="BN17" s="17">
        <v>10</v>
      </c>
      <c r="BO17" s="1" t="s">
        <v>30</v>
      </c>
      <c r="BP17" s="1">
        <f t="shared" ref="BP17:BW17" si="4">SUM(BP8:BP16)</f>
        <v>274</v>
      </c>
      <c r="BQ17" s="28">
        <f t="shared" si="4"/>
        <v>3159</v>
      </c>
      <c r="BR17" s="28">
        <f t="shared" si="4"/>
        <v>87847</v>
      </c>
      <c r="BS17" s="1">
        <f t="shared" si="4"/>
        <v>218</v>
      </c>
      <c r="BT17" s="28">
        <f t="shared" si="4"/>
        <v>3409</v>
      </c>
      <c r="BU17" s="28">
        <f t="shared" si="4"/>
        <v>31704</v>
      </c>
      <c r="BV17" s="1">
        <f t="shared" si="4"/>
        <v>56</v>
      </c>
      <c r="BW17" s="28">
        <f t="shared" si="4"/>
        <v>18787</v>
      </c>
      <c r="BX17" s="1"/>
      <c r="BY17" s="57">
        <f>SUM(BY8:CA16)</f>
        <v>-37356</v>
      </c>
      <c r="BZ17" s="58"/>
      <c r="CA17" s="59"/>
    </row>
    <row r="21" spans="66:79" ht="14.4" customHeight="1" x14ac:dyDescent="0.3">
      <c r="BN21" s="65" t="s">
        <v>20</v>
      </c>
      <c r="BO21" s="65"/>
      <c r="BP21" s="65"/>
      <c r="BQ21" s="65"/>
      <c r="BR21" s="65"/>
      <c r="BS21" s="65"/>
      <c r="BT21" s="65"/>
      <c r="BU21" s="65"/>
      <c r="BV21" s="65"/>
    </row>
    <row r="22" spans="66:79" x14ac:dyDescent="0.3">
      <c r="BN22" s="65"/>
      <c r="BO22" s="65"/>
      <c r="BP22" s="65"/>
      <c r="BQ22" s="65"/>
      <c r="BR22" s="65"/>
      <c r="BS22" s="65"/>
      <c r="BT22" s="65"/>
      <c r="BU22" s="65"/>
      <c r="BV22" s="65"/>
    </row>
    <row r="23" spans="66:79" x14ac:dyDescent="0.3">
      <c r="BQ23" s="64" t="s">
        <v>21</v>
      </c>
      <c r="BR23" s="64"/>
      <c r="BS23" s="64"/>
      <c r="BT23" s="64"/>
      <c r="BU23" s="64"/>
      <c r="BV23" s="64"/>
    </row>
    <row r="26" spans="66:79" x14ac:dyDescent="0.3">
      <c r="BP26" s="1"/>
      <c r="BQ26" s="1"/>
      <c r="BR26" s="1"/>
      <c r="BS26" s="1"/>
      <c r="BT26" s="1"/>
    </row>
    <row r="27" spans="66:79" x14ac:dyDescent="0.3">
      <c r="BP27" s="60" t="s">
        <v>22</v>
      </c>
      <c r="BQ27" s="60" t="s">
        <v>23</v>
      </c>
      <c r="BR27" s="60" t="s">
        <v>24</v>
      </c>
      <c r="BS27" s="66" t="s">
        <v>26</v>
      </c>
      <c r="BT27" s="63" t="s">
        <v>25</v>
      </c>
    </row>
    <row r="28" spans="66:79" x14ac:dyDescent="0.3">
      <c r="BP28" s="60"/>
      <c r="BQ28" s="60"/>
      <c r="BR28" s="60"/>
      <c r="BS28" s="66"/>
      <c r="BT28" s="60"/>
    </row>
    <row r="29" spans="66:79" x14ac:dyDescent="0.3">
      <c r="BP29" s="17" t="s">
        <v>27</v>
      </c>
      <c r="BQ29" s="18" t="s">
        <v>28</v>
      </c>
      <c r="BR29" s="1"/>
      <c r="BS29" s="19">
        <v>175000</v>
      </c>
      <c r="BT29" s="17">
        <v>17500</v>
      </c>
    </row>
    <row r="30" spans="66:79" x14ac:dyDescent="0.3">
      <c r="BP30" s="17" t="s">
        <v>27</v>
      </c>
      <c r="BQ30" s="17" t="s">
        <v>29</v>
      </c>
      <c r="BR30" s="1"/>
      <c r="BS30" s="19">
        <v>50000</v>
      </c>
      <c r="BT30" s="17">
        <v>5000</v>
      </c>
    </row>
    <row r="31" spans="66:79" x14ac:dyDescent="0.3">
      <c r="BP31" s="1"/>
      <c r="BQ31" s="1"/>
      <c r="BR31" s="1"/>
      <c r="BS31" s="1"/>
      <c r="BT31" s="1"/>
    </row>
    <row r="32" spans="66:79" x14ac:dyDescent="0.3">
      <c r="BP32" s="1"/>
      <c r="BQ32" s="17" t="s">
        <v>30</v>
      </c>
      <c r="BR32" s="1"/>
      <c r="BS32" s="19">
        <v>225000</v>
      </c>
      <c r="BT32" s="17">
        <v>22500</v>
      </c>
    </row>
    <row r="33" spans="68:72" x14ac:dyDescent="0.3">
      <c r="BP33" s="1"/>
      <c r="BQ33" s="1"/>
      <c r="BR33" s="1"/>
      <c r="BS33" s="1"/>
      <c r="BT33" s="1"/>
    </row>
    <row r="35" spans="68:72" x14ac:dyDescent="0.3">
      <c r="BP35" s="61" t="s">
        <v>31</v>
      </c>
      <c r="BQ35" s="61"/>
      <c r="BR35" s="61"/>
      <c r="BS35" s="61"/>
      <c r="BT35" s="61"/>
    </row>
    <row r="36" spans="68:72" x14ac:dyDescent="0.3">
      <c r="BP36" s="60" t="s">
        <v>22</v>
      </c>
      <c r="BQ36" s="60" t="s">
        <v>23</v>
      </c>
      <c r="BR36" s="60" t="s">
        <v>32</v>
      </c>
      <c r="BS36" s="60" t="s">
        <v>33</v>
      </c>
      <c r="BT36" s="63" t="s">
        <v>25</v>
      </c>
    </row>
    <row r="37" spans="68:72" x14ac:dyDescent="0.3">
      <c r="BP37" s="60"/>
      <c r="BQ37" s="60"/>
      <c r="BR37" s="60"/>
      <c r="BS37" s="60"/>
      <c r="BT37" s="60"/>
    </row>
    <row r="38" spans="68:72" x14ac:dyDescent="0.3">
      <c r="BP38" s="17" t="s">
        <v>34</v>
      </c>
      <c r="BQ38" s="17" t="s">
        <v>35</v>
      </c>
      <c r="BR38" s="17"/>
      <c r="BS38" s="19">
        <v>175000</v>
      </c>
      <c r="BT38" s="17">
        <v>17500</v>
      </c>
    </row>
    <row r="39" spans="68:72" x14ac:dyDescent="0.3">
      <c r="BP39" s="17" t="s">
        <v>34</v>
      </c>
      <c r="BQ39" s="17" t="s">
        <v>29</v>
      </c>
      <c r="BR39" s="17"/>
      <c r="BS39" s="19">
        <v>50000</v>
      </c>
      <c r="BT39" s="17">
        <v>5000</v>
      </c>
    </row>
    <row r="40" spans="68:72" x14ac:dyDescent="0.3">
      <c r="BP40" s="17"/>
      <c r="BQ40" s="17"/>
      <c r="BR40" s="17"/>
      <c r="BS40" s="17"/>
      <c r="BT40" s="17"/>
    </row>
    <row r="41" spans="68:72" x14ac:dyDescent="0.3">
      <c r="BP41" s="17"/>
      <c r="BQ41" s="17" t="s">
        <v>30</v>
      </c>
      <c r="BR41" s="17"/>
      <c r="BS41" s="19">
        <v>225000</v>
      </c>
      <c r="BT41" s="19">
        <v>22500</v>
      </c>
    </row>
    <row r="42" spans="68:72" x14ac:dyDescent="0.3">
      <c r="BP42" s="17"/>
      <c r="BQ42" s="17"/>
      <c r="BR42" s="17"/>
      <c r="BS42" s="17"/>
      <c r="BT42" s="17"/>
    </row>
    <row r="44" spans="68:72" x14ac:dyDescent="0.3">
      <c r="BP44" s="61" t="s">
        <v>36</v>
      </c>
      <c r="BQ44" s="61"/>
      <c r="BR44" s="61"/>
      <c r="BS44" s="61"/>
      <c r="BT44" s="61"/>
    </row>
    <row r="45" spans="68:72" x14ac:dyDescent="0.3">
      <c r="BP45" s="61" t="s">
        <v>22</v>
      </c>
      <c r="BQ45" s="61" t="s">
        <v>23</v>
      </c>
      <c r="BR45" s="61" t="s">
        <v>32</v>
      </c>
      <c r="BS45" s="61" t="s">
        <v>26</v>
      </c>
      <c r="BT45" s="62" t="s">
        <v>25</v>
      </c>
    </row>
    <row r="46" spans="68:72" x14ac:dyDescent="0.3">
      <c r="BP46" s="61"/>
      <c r="BQ46" s="61"/>
      <c r="BR46" s="61"/>
      <c r="BS46" s="61"/>
      <c r="BT46" s="61"/>
    </row>
    <row r="47" spans="68:72" x14ac:dyDescent="0.3">
      <c r="BP47" s="17" t="s">
        <v>34</v>
      </c>
      <c r="BQ47" s="17" t="s">
        <v>35</v>
      </c>
      <c r="BR47" s="17"/>
      <c r="BS47" s="19">
        <v>175000</v>
      </c>
      <c r="BT47" s="17">
        <v>17500</v>
      </c>
    </row>
    <row r="48" spans="68:72" x14ac:dyDescent="0.3">
      <c r="BP48" s="17" t="s">
        <v>34</v>
      </c>
      <c r="BQ48" s="17" t="s">
        <v>29</v>
      </c>
      <c r="BR48" s="17"/>
      <c r="BS48" s="19">
        <v>50000</v>
      </c>
      <c r="BT48" s="17">
        <v>5000</v>
      </c>
    </row>
    <row r="49" spans="68:76" x14ac:dyDescent="0.3">
      <c r="BP49" s="17"/>
      <c r="BQ49" s="17"/>
      <c r="BR49" s="17"/>
      <c r="BS49" s="19"/>
      <c r="BT49" s="17"/>
    </row>
    <row r="50" spans="68:76" x14ac:dyDescent="0.3">
      <c r="BP50" s="17"/>
      <c r="BQ50" s="17" t="s">
        <v>37</v>
      </c>
      <c r="BR50" s="17"/>
      <c r="BS50" s="19">
        <v>225000</v>
      </c>
      <c r="BT50" s="17">
        <v>22500</v>
      </c>
    </row>
    <row r="53" spans="68:76" x14ac:dyDescent="0.3">
      <c r="BQ53" t="s">
        <v>30</v>
      </c>
      <c r="BS53" s="20">
        <v>675000</v>
      </c>
      <c r="BT53" s="20">
        <v>67500</v>
      </c>
    </row>
    <row r="55" spans="68:76" x14ac:dyDescent="0.3">
      <c r="BP55" s="60" t="s">
        <v>38</v>
      </c>
      <c r="BQ55" s="60"/>
      <c r="BR55" s="60"/>
      <c r="BS55" s="60"/>
      <c r="BT55" s="60"/>
      <c r="BU55" s="60"/>
      <c r="BV55" s="60"/>
      <c r="BW55" s="60"/>
      <c r="BX55" s="60"/>
    </row>
    <row r="56" spans="68:76" x14ac:dyDescent="0.3">
      <c r="BP56" s="18" t="s">
        <v>39</v>
      </c>
      <c r="BQ56" s="18" t="s">
        <v>40</v>
      </c>
      <c r="BR56" s="18" t="s">
        <v>41</v>
      </c>
      <c r="BS56" s="18" t="s">
        <v>42</v>
      </c>
      <c r="BT56" s="18" t="s">
        <v>43</v>
      </c>
      <c r="BU56" s="18" t="s">
        <v>44</v>
      </c>
      <c r="BV56" s="18" t="s">
        <v>45</v>
      </c>
      <c r="BW56" s="18" t="s">
        <v>46</v>
      </c>
      <c r="BX56" s="18" t="s">
        <v>30</v>
      </c>
    </row>
    <row r="57" spans="68:76" x14ac:dyDescent="0.3">
      <c r="BP57" s="18" t="s">
        <v>47</v>
      </c>
      <c r="BQ57" s="18">
        <v>13142</v>
      </c>
      <c r="BR57" s="18">
        <v>6390340</v>
      </c>
      <c r="BS57" s="18" t="s">
        <v>49</v>
      </c>
      <c r="BT57" s="18" t="s">
        <v>50</v>
      </c>
      <c r="BU57" s="18">
        <v>22500</v>
      </c>
      <c r="BV57" s="18">
        <v>675</v>
      </c>
      <c r="BW57" s="18"/>
      <c r="BX57" s="18">
        <v>23175</v>
      </c>
    </row>
    <row r="58" spans="68:76" x14ac:dyDescent="0.3">
      <c r="BP58" s="18" t="s">
        <v>48</v>
      </c>
      <c r="BQ58" s="18">
        <v>90394</v>
      </c>
      <c r="BR58" s="18">
        <v>6390340</v>
      </c>
      <c r="BS58" s="18" t="s">
        <v>31</v>
      </c>
      <c r="BT58" s="18" t="s">
        <v>50</v>
      </c>
      <c r="BU58" s="18">
        <v>22500</v>
      </c>
      <c r="BV58" s="18"/>
      <c r="BW58" s="18"/>
      <c r="BX58" s="18">
        <v>22500</v>
      </c>
    </row>
    <row r="59" spans="68:76" x14ac:dyDescent="0.3">
      <c r="BP59" s="18" t="s">
        <v>48</v>
      </c>
      <c r="BQ59" s="18">
        <v>1524</v>
      </c>
      <c r="BR59" s="18">
        <v>6390340</v>
      </c>
      <c r="BS59" s="18" t="s">
        <v>36</v>
      </c>
      <c r="BT59" s="18" t="s">
        <v>50</v>
      </c>
      <c r="BU59" s="18">
        <v>22500</v>
      </c>
      <c r="BV59" s="18"/>
      <c r="BW59" s="18"/>
      <c r="BX59" s="18">
        <v>22500</v>
      </c>
    </row>
    <row r="60" spans="68:76" x14ac:dyDescent="0.3">
      <c r="BP60" s="18"/>
      <c r="BQ60" s="18"/>
      <c r="BR60" s="18"/>
      <c r="BS60" s="18"/>
      <c r="BT60" s="18"/>
      <c r="BU60" s="18"/>
      <c r="BV60" s="18"/>
      <c r="BW60" s="18"/>
      <c r="BX60" s="18">
        <v>0</v>
      </c>
    </row>
    <row r="61" spans="68:76" x14ac:dyDescent="0.3">
      <c r="BP61" s="18"/>
      <c r="BQ61" s="18" t="s">
        <v>30</v>
      </c>
      <c r="BR61" s="18"/>
      <c r="BS61" s="18"/>
      <c r="BT61" s="18"/>
      <c r="BU61" s="18">
        <v>67500</v>
      </c>
      <c r="BV61" s="18">
        <v>675</v>
      </c>
      <c r="BW61" s="18">
        <v>0</v>
      </c>
      <c r="BX61" s="18">
        <v>68175</v>
      </c>
    </row>
  </sheetData>
  <mergeCells count="41">
    <mergeCell ref="BY16:CA16"/>
    <mergeCell ref="BV5:BX6"/>
    <mergeCell ref="BY5:CA7"/>
    <mergeCell ref="BY8:CA8"/>
    <mergeCell ref="BY9:CA9"/>
    <mergeCell ref="BY11:CA11"/>
    <mergeCell ref="BY10:CA10"/>
    <mergeCell ref="BY12:CA12"/>
    <mergeCell ref="BY13:CA13"/>
    <mergeCell ref="BY14:CA14"/>
    <mergeCell ref="BY15:CA15"/>
    <mergeCell ref="G9:P9"/>
    <mergeCell ref="BN4:CC4"/>
    <mergeCell ref="BP5:BR6"/>
    <mergeCell ref="BN5:BN7"/>
    <mergeCell ref="BO5:BO7"/>
    <mergeCell ref="BS5:BU6"/>
    <mergeCell ref="L6:P6"/>
    <mergeCell ref="Q6:U6"/>
    <mergeCell ref="BN21:BV22"/>
    <mergeCell ref="BP27:BP28"/>
    <mergeCell ref="BQ27:BQ28"/>
    <mergeCell ref="BR27:BR28"/>
    <mergeCell ref="BS27:BS28"/>
    <mergeCell ref="BT27:BT28"/>
    <mergeCell ref="BY17:CA17"/>
    <mergeCell ref="BP55:BX55"/>
    <mergeCell ref="BP44:BT44"/>
    <mergeCell ref="BP45:BP46"/>
    <mergeCell ref="BQ45:BQ46"/>
    <mergeCell ref="BS45:BS46"/>
    <mergeCell ref="BR45:BR46"/>
    <mergeCell ref="BT45:BT46"/>
    <mergeCell ref="BP35:BT35"/>
    <mergeCell ref="BP36:BP37"/>
    <mergeCell ref="BQ36:BQ37"/>
    <mergeCell ref="BR36:BR37"/>
    <mergeCell ref="BS36:BS37"/>
    <mergeCell ref="BT36:BT37"/>
    <mergeCell ref="BQ23:BS23"/>
    <mergeCell ref="BT23:BV23"/>
  </mergeCells>
  <phoneticPr fontId="8" type="noConversion"/>
  <hyperlinks>
    <hyperlink ref="BT27" r:id="rId1" xr:uid="{C922CC69-5C72-4A0C-A7D2-6EC07A69AF1F}"/>
    <hyperlink ref="BT36" r:id="rId2" xr:uid="{3878465B-8EA6-4858-9F67-DCB308E6DF78}"/>
    <hyperlink ref="BT45" r:id="rId3" xr:uid="{78B30DE1-B189-416B-A48A-1EE5718EC64F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912C-D635-4FAB-A4AD-96D7187E6068}">
  <dimension ref="E3:N27"/>
  <sheetViews>
    <sheetView zoomScale="105" workbookViewId="0">
      <selection activeCell="H27" sqref="H27"/>
    </sheetView>
  </sheetViews>
  <sheetFormatPr defaultRowHeight="14.4" x14ac:dyDescent="0.3"/>
  <cols>
    <col min="3" max="3" width="16.5546875" bestFit="1" customWidth="1"/>
    <col min="5" max="5" width="10" customWidth="1"/>
    <col min="8" max="8" width="12.21875" customWidth="1"/>
  </cols>
  <sheetData>
    <row r="3" spans="5:14" x14ac:dyDescent="0.3">
      <c r="G3" s="64"/>
      <c r="H3" s="64"/>
      <c r="I3" s="64"/>
      <c r="J3" s="64"/>
      <c r="K3" s="64"/>
      <c r="L3" s="64"/>
    </row>
    <row r="4" spans="5:14" x14ac:dyDescent="0.3">
      <c r="E4" s="16" t="s">
        <v>63</v>
      </c>
      <c r="F4" s="16" t="s">
        <v>64</v>
      </c>
      <c r="G4" s="16" t="s">
        <v>66</v>
      </c>
      <c r="H4" s="16" t="s">
        <v>67</v>
      </c>
      <c r="I4" s="16" t="s">
        <v>68</v>
      </c>
      <c r="J4" s="16" t="s">
        <v>69</v>
      </c>
      <c r="K4" s="16" t="s">
        <v>70</v>
      </c>
      <c r="L4" s="16" t="s">
        <v>71</v>
      </c>
      <c r="M4" s="16" t="s">
        <v>30</v>
      </c>
      <c r="N4" s="16"/>
    </row>
    <row r="5" spans="5:14" x14ac:dyDescent="0.3">
      <c r="E5" s="16">
        <v>1</v>
      </c>
      <c r="F5" s="16" t="s">
        <v>51</v>
      </c>
      <c r="G5" s="16">
        <v>25</v>
      </c>
      <c r="H5" s="16">
        <v>17</v>
      </c>
      <c r="I5" s="16">
        <v>21</v>
      </c>
      <c r="J5" s="16">
        <v>24</v>
      </c>
      <c r="K5" s="16">
        <v>21</v>
      </c>
      <c r="L5" s="16">
        <v>30</v>
      </c>
      <c r="M5" s="16">
        <f>SUM(Table2[[#This Row],[STATIS]:[OB ]])</f>
        <v>138</v>
      </c>
      <c r="N5" s="16"/>
    </row>
    <row r="6" spans="5:14" x14ac:dyDescent="0.3">
      <c r="E6" s="16">
        <v>2</v>
      </c>
      <c r="F6" s="16" t="s">
        <v>29</v>
      </c>
      <c r="G6" s="16">
        <v>15</v>
      </c>
      <c r="H6" s="16">
        <v>24</v>
      </c>
      <c r="I6" s="16">
        <v>22</v>
      </c>
      <c r="J6" s="16">
        <v>11</v>
      </c>
      <c r="K6" s="16">
        <v>28</v>
      </c>
      <c r="L6" s="16">
        <v>24</v>
      </c>
      <c r="M6" s="16">
        <f>SUM(Table2[[#This Row],[STATIS]:[OB ]])</f>
        <v>124</v>
      </c>
      <c r="N6" s="16"/>
    </row>
    <row r="7" spans="5:14" x14ac:dyDescent="0.3">
      <c r="E7" s="16">
        <v>3</v>
      </c>
      <c r="F7" s="16" t="s">
        <v>52</v>
      </c>
      <c r="G7" s="16">
        <v>18</v>
      </c>
      <c r="H7" s="16">
        <v>15</v>
      </c>
      <c r="I7" s="16">
        <v>25</v>
      </c>
      <c r="J7" s="16">
        <v>26</v>
      </c>
      <c r="K7" s="16">
        <v>24</v>
      </c>
      <c r="L7" s="16">
        <v>28</v>
      </c>
      <c r="M7" s="16">
        <f>SUM(Table2[[#This Row],[STATIS]:[OB ]])</f>
        <v>136</v>
      </c>
      <c r="N7" s="16"/>
    </row>
    <row r="8" spans="5:14" x14ac:dyDescent="0.3">
      <c r="E8" s="16">
        <v>4</v>
      </c>
      <c r="F8" s="16" t="s">
        <v>53</v>
      </c>
      <c r="G8" s="16">
        <v>21</v>
      </c>
      <c r="H8" s="16">
        <v>14</v>
      </c>
      <c r="I8" s="16">
        <v>14</v>
      </c>
      <c r="J8" s="16">
        <v>24</v>
      </c>
      <c r="K8" s="16">
        <v>25</v>
      </c>
      <c r="L8" s="16">
        <v>12</v>
      </c>
      <c r="M8" s="16">
        <f>SUM(Table2[[#This Row],[STATIS]:[OB ]])</f>
        <v>110</v>
      </c>
      <c r="N8" s="16"/>
    </row>
    <row r="9" spans="5:14" x14ac:dyDescent="0.3">
      <c r="E9" s="16">
        <v>5</v>
      </c>
      <c r="F9" s="16" t="s">
        <v>54</v>
      </c>
      <c r="G9" s="16">
        <v>14</v>
      </c>
      <c r="H9" s="16">
        <v>22</v>
      </c>
      <c r="I9" s="16">
        <v>16</v>
      </c>
      <c r="J9" s="16">
        <v>12</v>
      </c>
      <c r="K9" s="16">
        <v>11</v>
      </c>
      <c r="L9" s="16">
        <v>10</v>
      </c>
      <c r="M9" s="16">
        <f>SUM(Table2[[#This Row],[STATIS]:[OB ]])</f>
        <v>85</v>
      </c>
      <c r="N9" s="16"/>
    </row>
    <row r="10" spans="5:14" x14ac:dyDescent="0.3">
      <c r="E10" s="16">
        <v>6</v>
      </c>
      <c r="F10" s="16" t="s">
        <v>55</v>
      </c>
      <c r="G10" s="16">
        <v>23</v>
      </c>
      <c r="H10" s="16">
        <v>23</v>
      </c>
      <c r="I10" s="16">
        <v>17</v>
      </c>
      <c r="J10" s="16">
        <v>23</v>
      </c>
      <c r="K10" s="16">
        <v>19</v>
      </c>
      <c r="L10" s="16">
        <v>9</v>
      </c>
      <c r="M10" s="16">
        <f>SUM(Table2[[#This Row],[STATIS]:[OB ]])</f>
        <v>114</v>
      </c>
      <c r="N10" s="16"/>
    </row>
    <row r="11" spans="5:14" x14ac:dyDescent="0.3">
      <c r="E11" s="16">
        <v>7</v>
      </c>
      <c r="F11" s="16" t="s">
        <v>56</v>
      </c>
      <c r="G11" s="16">
        <v>25</v>
      </c>
      <c r="H11" s="16">
        <v>15</v>
      </c>
      <c r="I11" s="16">
        <v>19</v>
      </c>
      <c r="J11" s="16">
        <v>27</v>
      </c>
      <c r="K11" s="16">
        <v>17</v>
      </c>
      <c r="L11" s="16">
        <v>14</v>
      </c>
      <c r="M11" s="16">
        <f>SUM(Table2[[#This Row],[STATIS]:[OB ]])</f>
        <v>117</v>
      </c>
      <c r="N11" s="16"/>
    </row>
    <row r="12" spans="5:14" x14ac:dyDescent="0.3">
      <c r="E12" s="16">
        <v>8</v>
      </c>
      <c r="F12" s="16" t="s">
        <v>57</v>
      </c>
      <c r="G12" s="16">
        <v>24</v>
      </c>
      <c r="H12" s="16">
        <v>16</v>
      </c>
      <c r="I12" s="16">
        <v>19</v>
      </c>
      <c r="J12" s="16">
        <v>29</v>
      </c>
      <c r="K12" s="16">
        <v>14</v>
      </c>
      <c r="L12" s="16">
        <v>18</v>
      </c>
      <c r="M12" s="16">
        <f>SUM(Table2[[#This Row],[STATIS]:[OB ]])</f>
        <v>120</v>
      </c>
      <c r="N12" s="16"/>
    </row>
    <row r="13" spans="5:14" x14ac:dyDescent="0.3">
      <c r="E13" s="16">
        <v>9</v>
      </c>
      <c r="F13" s="16" t="s">
        <v>58</v>
      </c>
      <c r="G13" s="16">
        <v>11</v>
      </c>
      <c r="H13" s="16">
        <v>22</v>
      </c>
      <c r="I13" s="16">
        <v>22</v>
      </c>
      <c r="J13" s="16">
        <v>21</v>
      </c>
      <c r="K13" s="16">
        <v>13</v>
      </c>
      <c r="L13" s="16">
        <v>6</v>
      </c>
      <c r="M13" s="16">
        <f>SUM(Table2[[#This Row],[STATIS]:[OB ]])</f>
        <v>95</v>
      </c>
      <c r="N13" s="16"/>
    </row>
    <row r="14" spans="5:14" x14ac:dyDescent="0.3">
      <c r="E14" s="16">
        <v>10</v>
      </c>
      <c r="F14" s="16" t="s">
        <v>59</v>
      </c>
      <c r="G14" s="16">
        <v>15</v>
      </c>
      <c r="H14" s="16">
        <v>21</v>
      </c>
      <c r="I14" s="16">
        <v>27</v>
      </c>
      <c r="J14" s="16">
        <v>14</v>
      </c>
      <c r="K14" s="16">
        <v>9</v>
      </c>
      <c r="L14" s="16">
        <v>18</v>
      </c>
      <c r="M14" s="16">
        <f>SUM(Table2[[#This Row],[STATIS]:[OB ]])</f>
        <v>104</v>
      </c>
      <c r="N14" s="16"/>
    </row>
    <row r="15" spans="5:14" x14ac:dyDescent="0.3">
      <c r="E15" s="16">
        <v>11</v>
      </c>
      <c r="F15" s="16" t="s">
        <v>60</v>
      </c>
      <c r="G15" s="16">
        <v>16</v>
      </c>
      <c r="H15" s="16">
        <v>16</v>
      </c>
      <c r="I15" s="16">
        <v>10</v>
      </c>
      <c r="J15" s="16">
        <v>16</v>
      </c>
      <c r="K15" s="16">
        <v>18</v>
      </c>
      <c r="L15" s="16">
        <v>19</v>
      </c>
      <c r="M15" s="16">
        <f>SUM(Table2[[#This Row],[STATIS]:[OB ]])</f>
        <v>95</v>
      </c>
      <c r="N15" s="16"/>
    </row>
    <row r="16" spans="5:14" x14ac:dyDescent="0.3">
      <c r="E16" s="16">
        <v>12</v>
      </c>
      <c r="F16" s="16" t="s">
        <v>35</v>
      </c>
      <c r="G16" s="16">
        <v>22</v>
      </c>
      <c r="H16" s="16">
        <v>11</v>
      </c>
      <c r="I16" s="16">
        <v>24</v>
      </c>
      <c r="J16" s="16">
        <v>28</v>
      </c>
      <c r="K16" s="16">
        <v>16</v>
      </c>
      <c r="L16" s="16">
        <v>21</v>
      </c>
      <c r="M16" s="16">
        <f>SUM(Table2[[#This Row],[STATIS]:[OB ]])</f>
        <v>122</v>
      </c>
      <c r="N16" s="16"/>
    </row>
    <row r="17" spans="5:14" x14ac:dyDescent="0.3">
      <c r="E17" s="16">
        <v>13</v>
      </c>
      <c r="F17" s="16" t="s">
        <v>61</v>
      </c>
      <c r="G17" s="16">
        <v>14</v>
      </c>
      <c r="H17" s="16">
        <v>17</v>
      </c>
      <c r="I17" s="16">
        <v>10</v>
      </c>
      <c r="J17" s="16">
        <v>24</v>
      </c>
      <c r="K17" s="16">
        <v>13</v>
      </c>
      <c r="L17" s="16">
        <v>16</v>
      </c>
      <c r="M17" s="16">
        <f>SUM(Table2[[#This Row],[STATIS]:[OB ]])</f>
        <v>94</v>
      </c>
      <c r="N17" s="16"/>
    </row>
    <row r="18" spans="5:14" x14ac:dyDescent="0.3">
      <c r="E18" s="16">
        <v>14</v>
      </c>
      <c r="F18" s="16" t="s">
        <v>62</v>
      </c>
      <c r="G18" s="16">
        <v>12</v>
      </c>
      <c r="H18" s="16">
        <v>15</v>
      </c>
      <c r="I18" s="16">
        <v>14</v>
      </c>
      <c r="J18" s="16">
        <v>21</v>
      </c>
      <c r="K18" s="16">
        <v>18</v>
      </c>
      <c r="L18" s="16">
        <v>27</v>
      </c>
      <c r="M18" s="16">
        <f>SUM(Table2[[#This Row],[STATIS]:[OB ]])</f>
        <v>107</v>
      </c>
      <c r="N18" s="16"/>
    </row>
    <row r="19" spans="5:14" x14ac:dyDescent="0.3"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5:14" x14ac:dyDescent="0.3">
      <c r="E20" s="16"/>
      <c r="F20" s="16" t="s">
        <v>65</v>
      </c>
      <c r="G20" s="16">
        <f>SUBTOTAL(109,G5:G19)</f>
        <v>255</v>
      </c>
      <c r="H20" s="16">
        <f>SUBTOTAL(109,H5:H19)</f>
        <v>248</v>
      </c>
      <c r="I20" s="16">
        <f>SUM(Table2[[#This Row],[STATIS]:[MATH]])</f>
        <v>503</v>
      </c>
      <c r="J20" s="16">
        <f>SUM(Table2[[#This Row],[STATIS]:[A/C]])</f>
        <v>1006</v>
      </c>
      <c r="K20" s="16">
        <f>SUM(Table2[[#This Row],[STATIS]:[ECO]])</f>
        <v>2012</v>
      </c>
      <c r="L20" s="16">
        <f>SUM(Table2[[#This Row],[STATIS]:[ETHICS]])</f>
        <v>4024</v>
      </c>
      <c r="M20" s="16">
        <f>SUM(Table2[[#This Row],[STATIS]:[OB ]])</f>
        <v>8048</v>
      </c>
      <c r="N20" s="16"/>
    </row>
    <row r="21" spans="5:14" x14ac:dyDescent="0.3">
      <c r="E21" s="16"/>
      <c r="F21" s="16" t="s">
        <v>72</v>
      </c>
      <c r="G21" s="16">
        <f>AVERAGE(G5:G18)</f>
        <v>18.214285714285715</v>
      </c>
      <c r="H21" s="16">
        <f>AVERAGE(H5:H18)</f>
        <v>17.714285714285715</v>
      </c>
      <c r="I21" s="16">
        <f t="shared" ref="I21:M21" si="0">AVERAGE(I5:I18)</f>
        <v>18.571428571428573</v>
      </c>
      <c r="J21" s="16">
        <f t="shared" si="0"/>
        <v>21.428571428571427</v>
      </c>
      <c r="K21" s="16">
        <f t="shared" si="0"/>
        <v>17.571428571428573</v>
      </c>
      <c r="L21" s="16">
        <f t="shared" si="0"/>
        <v>18</v>
      </c>
      <c r="M21" s="16">
        <f t="shared" si="0"/>
        <v>111.5</v>
      </c>
      <c r="N21" s="16"/>
    </row>
    <row r="22" spans="5:14" x14ac:dyDescent="0.3">
      <c r="E22" s="16"/>
      <c r="F22" s="16" t="s">
        <v>73</v>
      </c>
      <c r="G22" s="16">
        <f>COUNT(G5:G18)</f>
        <v>14</v>
      </c>
      <c r="H22" s="16">
        <f t="shared" ref="H22:L22" si="1">COUNT(H5:H18)</f>
        <v>14</v>
      </c>
      <c r="I22" s="16">
        <f t="shared" si="1"/>
        <v>14</v>
      </c>
      <c r="J22" s="16">
        <f t="shared" si="1"/>
        <v>14</v>
      </c>
      <c r="K22" s="16">
        <f t="shared" si="1"/>
        <v>14</v>
      </c>
      <c r="L22" s="16">
        <f t="shared" si="1"/>
        <v>14</v>
      </c>
      <c r="M22" s="16">
        <f>COUNT(M5:M18)</f>
        <v>14</v>
      </c>
      <c r="N22" s="16"/>
    </row>
    <row r="23" spans="5:14" x14ac:dyDescent="0.3">
      <c r="E23" s="16"/>
      <c r="F23" s="16" t="s">
        <v>74</v>
      </c>
      <c r="G23" s="16">
        <f>MAX(G5:G18)</f>
        <v>25</v>
      </c>
      <c r="H23" s="16">
        <f t="shared" ref="H23:M23" si="2">MAX(H5:H18)</f>
        <v>24</v>
      </c>
      <c r="I23" s="16">
        <f t="shared" si="2"/>
        <v>27</v>
      </c>
      <c r="J23" s="16">
        <f t="shared" si="2"/>
        <v>29</v>
      </c>
      <c r="K23" s="16">
        <f t="shared" si="2"/>
        <v>28</v>
      </c>
      <c r="L23" s="16">
        <f t="shared" si="2"/>
        <v>30</v>
      </c>
      <c r="M23" s="16">
        <f t="shared" si="2"/>
        <v>138</v>
      </c>
      <c r="N23" s="16"/>
    </row>
    <row r="24" spans="5:14" x14ac:dyDescent="0.3">
      <c r="E24" s="16"/>
      <c r="F24" s="16" t="s">
        <v>75</v>
      </c>
      <c r="G24" s="16">
        <f>MIN(G5:G18)</f>
        <v>11</v>
      </c>
      <c r="H24" s="16">
        <f t="shared" ref="H24:M24" si="3">MIN(H5:H18)</f>
        <v>11</v>
      </c>
      <c r="I24" s="16">
        <f t="shared" si="3"/>
        <v>10</v>
      </c>
      <c r="J24" s="16">
        <f t="shared" si="3"/>
        <v>11</v>
      </c>
      <c r="K24" s="16">
        <f t="shared" si="3"/>
        <v>9</v>
      </c>
      <c r="L24" s="16">
        <f t="shared" si="3"/>
        <v>6</v>
      </c>
      <c r="M24" s="16">
        <f t="shared" si="3"/>
        <v>85</v>
      </c>
      <c r="N24" s="16"/>
    </row>
    <row r="25" spans="5:14" x14ac:dyDescent="0.3">
      <c r="N25" s="16"/>
    </row>
    <row r="26" spans="5:14" x14ac:dyDescent="0.3">
      <c r="N26" s="16"/>
    </row>
    <row r="27" spans="5:14" x14ac:dyDescent="0.3">
      <c r="N27" s="16"/>
    </row>
  </sheetData>
  <mergeCells count="1">
    <mergeCell ref="G3:L3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1281-1494-4524-A5AA-9F395A76A49F}">
  <dimension ref="A1:R24"/>
  <sheetViews>
    <sheetView showGridLines="0" tabSelected="1" zoomScale="101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G17" sqref="G17"/>
    </sheetView>
  </sheetViews>
  <sheetFormatPr defaultRowHeight="14.4" x14ac:dyDescent="0.3"/>
  <cols>
    <col min="1" max="1" width="3.77734375" customWidth="1"/>
    <col min="2" max="2" width="14.6640625" customWidth="1"/>
    <col min="3" max="3" width="12.44140625" customWidth="1"/>
    <col min="4" max="4" width="10.44140625" customWidth="1"/>
    <col min="5" max="5" width="11.88671875" customWidth="1"/>
    <col min="6" max="6" width="10.44140625" customWidth="1"/>
    <col min="7" max="7" width="11.21875" customWidth="1"/>
    <col min="8" max="8" width="10.44140625" customWidth="1"/>
    <col min="9" max="10" width="11.77734375" customWidth="1"/>
    <col min="11" max="11" width="12.5546875" bestFit="1" customWidth="1"/>
    <col min="12" max="12" width="15.44140625" bestFit="1" customWidth="1"/>
    <col min="13" max="13" width="1.88671875" customWidth="1"/>
    <col min="14" max="14" width="16" bestFit="1" customWidth="1"/>
    <col min="15" max="15" width="19.6640625" bestFit="1" customWidth="1"/>
    <col min="16" max="16" width="1.44140625" customWidth="1"/>
    <col min="17" max="17" width="13" bestFit="1" customWidth="1"/>
    <col min="18" max="18" width="18.109375" customWidth="1"/>
  </cols>
  <sheetData>
    <row r="1" spans="1:18" s="44" customFormat="1" ht="34.200000000000003" customHeight="1" x14ac:dyDescent="0.3">
      <c r="A1" s="42" t="s">
        <v>116</v>
      </c>
      <c r="B1" s="43"/>
      <c r="C1" s="43"/>
      <c r="D1" s="42"/>
      <c r="E1" s="42"/>
      <c r="F1" s="42"/>
      <c r="G1" s="42"/>
      <c r="H1" s="42"/>
      <c r="I1" s="43"/>
      <c r="J1" s="43"/>
      <c r="K1" s="43"/>
      <c r="L1" s="43"/>
    </row>
    <row r="2" spans="1:18" s="44" customFormat="1" ht="34.200000000000003" customHeight="1" x14ac:dyDescent="0.3">
      <c r="A2" s="42"/>
      <c r="B2" s="43"/>
      <c r="C2" s="48" t="s">
        <v>118</v>
      </c>
      <c r="D2" s="48"/>
      <c r="E2" s="48"/>
      <c r="F2" s="48"/>
      <c r="G2" s="48"/>
      <c r="H2" s="42"/>
      <c r="I2" s="43"/>
      <c r="J2" s="43"/>
      <c r="K2" s="43"/>
      <c r="L2" s="43"/>
      <c r="Q2" s="49" t="s">
        <v>119</v>
      </c>
      <c r="R2" s="49"/>
    </row>
    <row r="3" spans="1:18" s="44" customFormat="1" ht="31.2" x14ac:dyDescent="0.3">
      <c r="A3" s="54" t="s">
        <v>76</v>
      </c>
      <c r="B3" s="55" t="s">
        <v>77</v>
      </c>
      <c r="C3" s="55" t="s">
        <v>88</v>
      </c>
      <c r="D3" s="55" t="s">
        <v>89</v>
      </c>
      <c r="E3" s="55" t="s">
        <v>90</v>
      </c>
      <c r="F3" s="55" t="s">
        <v>91</v>
      </c>
      <c r="G3" s="55" t="s">
        <v>107</v>
      </c>
      <c r="H3" s="55" t="s">
        <v>93</v>
      </c>
      <c r="I3" s="55" t="s">
        <v>92</v>
      </c>
      <c r="J3" s="56" t="s">
        <v>120</v>
      </c>
      <c r="K3" s="56" t="s">
        <v>108</v>
      </c>
      <c r="L3" s="56" t="s">
        <v>94</v>
      </c>
      <c r="N3" s="50" t="s">
        <v>110</v>
      </c>
      <c r="O3" s="51" t="s">
        <v>113</v>
      </c>
      <c r="Q3" s="52" t="s">
        <v>110</v>
      </c>
      <c r="R3" s="53" t="s">
        <v>113</v>
      </c>
    </row>
    <row r="4" spans="1:18" x14ac:dyDescent="0.3">
      <c r="A4" s="29">
        <v>1</v>
      </c>
      <c r="B4" s="17" t="s">
        <v>78</v>
      </c>
      <c r="C4" s="30">
        <v>500</v>
      </c>
      <c r="D4" s="17">
        <v>25</v>
      </c>
      <c r="E4" s="19">
        <f>SUM(C4*D4)</f>
        <v>12500</v>
      </c>
      <c r="F4" s="31">
        <v>0.1</v>
      </c>
      <c r="G4" s="17">
        <f t="shared" ref="G4:G18" si="0">(E4*10/100)</f>
        <v>1250</v>
      </c>
      <c r="H4" s="32">
        <v>0.18</v>
      </c>
      <c r="I4" s="19">
        <f t="shared" ref="I4:I18" si="1">SUM(E4-G4)</f>
        <v>11250</v>
      </c>
      <c r="J4" s="37">
        <f>I4*(1+18%)</f>
        <v>13275</v>
      </c>
      <c r="K4" s="37" t="str">
        <f t="shared" ref="K4:K18" si="2">IF(I4&gt;=5000, "High value", " standard ")</f>
        <v>High value</v>
      </c>
      <c r="L4" s="2" t="s">
        <v>95</v>
      </c>
      <c r="N4" s="40" t="s">
        <v>78</v>
      </c>
      <c r="O4" s="1">
        <v>16248.6</v>
      </c>
      <c r="Q4" s="40" t="s">
        <v>96</v>
      </c>
      <c r="R4" s="1">
        <v>14602.5</v>
      </c>
    </row>
    <row r="5" spans="1:18" x14ac:dyDescent="0.3">
      <c r="A5" s="29">
        <v>2</v>
      </c>
      <c r="B5" s="17" t="s">
        <v>79</v>
      </c>
      <c r="C5" s="19">
        <v>125</v>
      </c>
      <c r="D5" s="17">
        <v>22</v>
      </c>
      <c r="E5" s="19">
        <f t="shared" ref="E5:E18" si="3">SUM(C5*D5)</f>
        <v>2750</v>
      </c>
      <c r="F5" s="31">
        <v>0.1</v>
      </c>
      <c r="G5" s="17">
        <f>(E5*10/100)</f>
        <v>275</v>
      </c>
      <c r="H5" s="32">
        <v>0.18</v>
      </c>
      <c r="I5" s="19">
        <f t="shared" si="1"/>
        <v>2475</v>
      </c>
      <c r="J5" s="37">
        <f>I5*(1+18%)</f>
        <v>2920.5</v>
      </c>
      <c r="K5" s="37" t="str">
        <f t="shared" si="2"/>
        <v xml:space="preserve"> standard </v>
      </c>
      <c r="L5" s="2" t="s">
        <v>96</v>
      </c>
      <c r="N5" s="41" t="s">
        <v>95</v>
      </c>
      <c r="O5" s="1">
        <v>16248.6</v>
      </c>
      <c r="Q5" s="41" t="s">
        <v>79</v>
      </c>
      <c r="R5" s="1">
        <v>2920.5</v>
      </c>
    </row>
    <row r="6" spans="1:18" x14ac:dyDescent="0.3">
      <c r="A6" s="29">
        <v>3</v>
      </c>
      <c r="B6" s="17" t="s">
        <v>80</v>
      </c>
      <c r="C6" s="19">
        <v>120</v>
      </c>
      <c r="D6" s="17">
        <v>33</v>
      </c>
      <c r="E6" s="19">
        <f t="shared" si="3"/>
        <v>3960</v>
      </c>
      <c r="F6" s="31">
        <v>0.1</v>
      </c>
      <c r="G6" s="17">
        <f t="shared" si="0"/>
        <v>396</v>
      </c>
      <c r="H6" s="32">
        <v>0.18</v>
      </c>
      <c r="I6" s="19">
        <f t="shared" si="1"/>
        <v>3564</v>
      </c>
      <c r="J6" s="37">
        <f t="shared" ref="J4:J18" si="4">I6*(1+18%)</f>
        <v>4205.5199999999995</v>
      </c>
      <c r="K6" s="37" t="str">
        <f t="shared" si="2"/>
        <v xml:space="preserve"> standard </v>
      </c>
      <c r="L6" s="2" t="s">
        <v>97</v>
      </c>
      <c r="N6" s="40" t="s">
        <v>111</v>
      </c>
      <c r="O6" s="1">
        <v>16248.6</v>
      </c>
      <c r="Q6" s="41" t="s">
        <v>86</v>
      </c>
      <c r="R6" s="1">
        <v>1486.8</v>
      </c>
    </row>
    <row r="7" spans="1:18" x14ac:dyDescent="0.3">
      <c r="A7" s="29">
        <v>4</v>
      </c>
      <c r="B7" s="17" t="s">
        <v>81</v>
      </c>
      <c r="C7" s="19">
        <v>100</v>
      </c>
      <c r="D7" s="17">
        <v>45</v>
      </c>
      <c r="E7" s="19">
        <f t="shared" si="3"/>
        <v>4500</v>
      </c>
      <c r="F7" s="31">
        <v>0.1</v>
      </c>
      <c r="G7" s="17">
        <f t="shared" si="0"/>
        <v>450</v>
      </c>
      <c r="H7" s="32">
        <v>0.18</v>
      </c>
      <c r="I7" s="19">
        <f t="shared" si="1"/>
        <v>4050</v>
      </c>
      <c r="J7" s="37">
        <f t="shared" si="4"/>
        <v>4779</v>
      </c>
      <c r="K7" s="37" t="str">
        <f t="shared" si="2"/>
        <v xml:space="preserve"> standard </v>
      </c>
      <c r="L7" s="2" t="s">
        <v>95</v>
      </c>
      <c r="N7" s="1"/>
      <c r="O7" s="1"/>
      <c r="Q7" s="41" t="s">
        <v>84</v>
      </c>
      <c r="R7" s="1">
        <v>10195.200000000001</v>
      </c>
    </row>
    <row r="8" spans="1:18" x14ac:dyDescent="0.3">
      <c r="A8" s="29">
        <v>5</v>
      </c>
      <c r="B8" s="17" t="s">
        <v>82</v>
      </c>
      <c r="C8" s="19">
        <v>400</v>
      </c>
      <c r="D8" s="17">
        <v>21</v>
      </c>
      <c r="E8" s="19">
        <f t="shared" si="3"/>
        <v>8400</v>
      </c>
      <c r="F8" s="31">
        <v>0.1</v>
      </c>
      <c r="G8" s="17">
        <f t="shared" si="0"/>
        <v>840</v>
      </c>
      <c r="H8" s="32">
        <v>0.18</v>
      </c>
      <c r="I8" s="19">
        <f t="shared" si="1"/>
        <v>7560</v>
      </c>
      <c r="J8" s="37">
        <f t="shared" si="4"/>
        <v>8920.7999999999993</v>
      </c>
      <c r="K8" s="37" t="str">
        <f t="shared" si="2"/>
        <v>High value</v>
      </c>
      <c r="L8" s="2" t="s">
        <v>98</v>
      </c>
      <c r="N8" s="39" t="s">
        <v>110</v>
      </c>
      <c r="O8" s="1" t="s">
        <v>114</v>
      </c>
      <c r="Q8" s="40" t="s">
        <v>112</v>
      </c>
      <c r="R8" s="1">
        <v>11788.2</v>
      </c>
    </row>
    <row r="9" spans="1:18" x14ac:dyDescent="0.3">
      <c r="A9" s="29">
        <v>6</v>
      </c>
      <c r="B9" s="17" t="s">
        <v>83</v>
      </c>
      <c r="C9" s="19">
        <v>250</v>
      </c>
      <c r="D9" s="17">
        <v>32</v>
      </c>
      <c r="E9" s="19">
        <f t="shared" si="3"/>
        <v>8000</v>
      </c>
      <c r="F9" s="31">
        <v>0.1</v>
      </c>
      <c r="G9" s="17">
        <f>(E9*10/100)</f>
        <v>800</v>
      </c>
      <c r="H9" s="32">
        <v>0.18</v>
      </c>
      <c r="I9" s="19">
        <f t="shared" si="1"/>
        <v>7200</v>
      </c>
      <c r="J9" s="37">
        <f t="shared" si="4"/>
        <v>8496</v>
      </c>
      <c r="K9" s="37" t="str">
        <f t="shared" si="2"/>
        <v>High value</v>
      </c>
      <c r="L9" s="2" t="s">
        <v>95</v>
      </c>
      <c r="N9" s="40" t="s">
        <v>78</v>
      </c>
      <c r="O9" s="1">
        <v>2</v>
      </c>
      <c r="Q9" s="41" t="s">
        <v>86</v>
      </c>
      <c r="R9" s="1">
        <v>11788.2</v>
      </c>
    </row>
    <row r="10" spans="1:18" x14ac:dyDescent="0.3">
      <c r="A10" s="29">
        <v>7</v>
      </c>
      <c r="B10" s="17" t="s">
        <v>84</v>
      </c>
      <c r="C10" s="19">
        <v>320</v>
      </c>
      <c r="D10" s="17">
        <v>30</v>
      </c>
      <c r="E10" s="19">
        <f t="shared" si="3"/>
        <v>9600</v>
      </c>
      <c r="F10" s="31">
        <v>0.1</v>
      </c>
      <c r="G10" s="17">
        <f t="shared" si="0"/>
        <v>960</v>
      </c>
      <c r="H10" s="32">
        <v>0.18</v>
      </c>
      <c r="I10" s="19">
        <f t="shared" si="1"/>
        <v>8640</v>
      </c>
      <c r="J10" s="37">
        <f t="shared" si="4"/>
        <v>10195.199999999999</v>
      </c>
      <c r="K10" s="37" t="str">
        <f t="shared" si="2"/>
        <v>High value</v>
      </c>
      <c r="L10" s="2" t="s">
        <v>96</v>
      </c>
      <c r="N10" s="41" t="s">
        <v>95</v>
      </c>
      <c r="O10" s="1">
        <v>2</v>
      </c>
      <c r="Q10" s="40" t="s">
        <v>95</v>
      </c>
      <c r="R10" s="1">
        <v>32709.599999999999</v>
      </c>
    </row>
    <row r="11" spans="1:18" x14ac:dyDescent="0.3">
      <c r="A11" s="29">
        <v>8</v>
      </c>
      <c r="B11" s="17" t="s">
        <v>78</v>
      </c>
      <c r="C11" s="19">
        <v>250</v>
      </c>
      <c r="D11" s="17">
        <v>20</v>
      </c>
      <c r="E11" s="19">
        <f t="shared" si="3"/>
        <v>5000</v>
      </c>
      <c r="F11" s="31">
        <v>0.1</v>
      </c>
      <c r="G11" s="17">
        <f t="shared" si="0"/>
        <v>500</v>
      </c>
      <c r="H11" s="32">
        <v>0.18</v>
      </c>
      <c r="I11" s="19">
        <f>SUM(E11-G11)</f>
        <v>4500</v>
      </c>
      <c r="J11" s="37">
        <f t="shared" si="4"/>
        <v>5310</v>
      </c>
      <c r="K11" s="37" t="str">
        <f t="shared" si="2"/>
        <v xml:space="preserve"> standard </v>
      </c>
      <c r="L11" s="2" t="s">
        <v>97</v>
      </c>
      <c r="N11" s="40" t="s">
        <v>111</v>
      </c>
      <c r="O11" s="1">
        <v>2</v>
      </c>
      <c r="Q11" s="41" t="s">
        <v>78</v>
      </c>
      <c r="R11" s="1">
        <v>16248.6</v>
      </c>
    </row>
    <row r="12" spans="1:18" x14ac:dyDescent="0.3">
      <c r="A12" s="29">
        <v>9</v>
      </c>
      <c r="B12" s="17" t="s">
        <v>85</v>
      </c>
      <c r="C12" s="19">
        <v>300</v>
      </c>
      <c r="D12" s="17">
        <v>10</v>
      </c>
      <c r="E12" s="19">
        <f t="shared" si="3"/>
        <v>3000</v>
      </c>
      <c r="F12" s="31">
        <v>0.1</v>
      </c>
      <c r="G12" s="17">
        <f>(E12*10/100)</f>
        <v>300</v>
      </c>
      <c r="H12" s="32">
        <v>0.18</v>
      </c>
      <c r="I12" s="19">
        <f t="shared" si="1"/>
        <v>2700</v>
      </c>
      <c r="J12" s="37">
        <f t="shared" si="4"/>
        <v>3186</v>
      </c>
      <c r="K12" s="37" t="str">
        <f t="shared" si="2"/>
        <v xml:space="preserve"> standard </v>
      </c>
      <c r="L12" s="2" t="s">
        <v>95</v>
      </c>
      <c r="N12" s="1"/>
      <c r="O12" s="1"/>
      <c r="Q12" s="41" t="s">
        <v>81</v>
      </c>
      <c r="R12" s="1">
        <v>4779</v>
      </c>
    </row>
    <row r="13" spans="1:18" x14ac:dyDescent="0.3">
      <c r="A13" s="29">
        <v>10</v>
      </c>
      <c r="B13" s="17" t="s">
        <v>78</v>
      </c>
      <c r="C13" s="19">
        <v>200</v>
      </c>
      <c r="D13" s="17">
        <v>14</v>
      </c>
      <c r="E13" s="19">
        <f t="shared" si="3"/>
        <v>2800</v>
      </c>
      <c r="F13" s="31">
        <v>0.1</v>
      </c>
      <c r="G13" s="17">
        <f t="shared" si="0"/>
        <v>280</v>
      </c>
      <c r="H13" s="32">
        <v>0.18</v>
      </c>
      <c r="I13" s="19">
        <f t="shared" si="1"/>
        <v>2520</v>
      </c>
      <c r="J13" s="37">
        <f t="shared" si="4"/>
        <v>2973.6</v>
      </c>
      <c r="K13" s="37" t="str">
        <f t="shared" si="2"/>
        <v xml:space="preserve"> standard </v>
      </c>
      <c r="L13" s="2" t="s">
        <v>95</v>
      </c>
      <c r="N13" s="39" t="s">
        <v>110</v>
      </c>
      <c r="O13" s="1" t="s">
        <v>115</v>
      </c>
      <c r="Q13" s="41" t="s">
        <v>85</v>
      </c>
      <c r="R13" s="1">
        <v>3186</v>
      </c>
    </row>
    <row r="14" spans="1:18" x14ac:dyDescent="0.3">
      <c r="A14" s="29">
        <v>11</v>
      </c>
      <c r="B14" s="17" t="s">
        <v>86</v>
      </c>
      <c r="C14" s="19">
        <v>100</v>
      </c>
      <c r="D14" s="17">
        <v>14</v>
      </c>
      <c r="E14" s="19">
        <f t="shared" si="3"/>
        <v>1400</v>
      </c>
      <c r="F14" s="31">
        <v>0.1</v>
      </c>
      <c r="G14" s="17">
        <f t="shared" si="0"/>
        <v>140</v>
      </c>
      <c r="H14" s="32">
        <v>0.18</v>
      </c>
      <c r="I14" s="19">
        <f>SUM(E14-G14)</f>
        <v>1260</v>
      </c>
      <c r="J14" s="37">
        <f t="shared" si="4"/>
        <v>1486.8</v>
      </c>
      <c r="K14" s="37" t="str">
        <f t="shared" si="2"/>
        <v xml:space="preserve"> standard </v>
      </c>
      <c r="L14" s="2" t="s">
        <v>96</v>
      </c>
      <c r="N14" s="40" t="s">
        <v>78</v>
      </c>
      <c r="O14" s="1">
        <v>8124.3</v>
      </c>
      <c r="Q14" s="41" t="s">
        <v>83</v>
      </c>
      <c r="R14" s="1">
        <v>8496</v>
      </c>
    </row>
    <row r="15" spans="1:18" x14ac:dyDescent="0.3">
      <c r="A15" s="29">
        <v>12</v>
      </c>
      <c r="B15" s="17" t="s">
        <v>78</v>
      </c>
      <c r="C15" s="19">
        <v>240</v>
      </c>
      <c r="D15" s="17">
        <v>17</v>
      </c>
      <c r="E15" s="19">
        <f t="shared" si="3"/>
        <v>4080</v>
      </c>
      <c r="F15" s="31">
        <v>0.1</v>
      </c>
      <c r="G15" s="17">
        <f t="shared" si="0"/>
        <v>408</v>
      </c>
      <c r="H15" s="32">
        <v>0.18</v>
      </c>
      <c r="I15" s="19">
        <f t="shared" si="1"/>
        <v>3672</v>
      </c>
      <c r="J15" s="37">
        <f>I15*(1+18%)</f>
        <v>4332.96</v>
      </c>
      <c r="K15" s="37" t="str">
        <f t="shared" si="2"/>
        <v xml:space="preserve"> standard </v>
      </c>
      <c r="L15" s="2" t="s">
        <v>97</v>
      </c>
      <c r="N15" s="41" t="s">
        <v>95</v>
      </c>
      <c r="O15" s="1">
        <v>8124.3</v>
      </c>
      <c r="Q15" s="40" t="s">
        <v>97</v>
      </c>
      <c r="R15" s="1">
        <v>13848.48</v>
      </c>
    </row>
    <row r="16" spans="1:18" x14ac:dyDescent="0.3">
      <c r="A16" s="29">
        <v>13</v>
      </c>
      <c r="B16" s="17" t="s">
        <v>87</v>
      </c>
      <c r="C16" s="19">
        <v>500</v>
      </c>
      <c r="D16" s="17">
        <v>32</v>
      </c>
      <c r="E16" s="19">
        <f t="shared" si="3"/>
        <v>16000</v>
      </c>
      <c r="F16" s="31">
        <v>0.1</v>
      </c>
      <c r="G16" s="17">
        <f t="shared" si="0"/>
        <v>1600</v>
      </c>
      <c r="H16" s="32">
        <v>0.18</v>
      </c>
      <c r="I16" s="19">
        <f t="shared" si="1"/>
        <v>14400</v>
      </c>
      <c r="J16" s="37">
        <f>I16*(1+18%)</f>
        <v>16992</v>
      </c>
      <c r="K16" s="37" t="str">
        <f t="shared" si="2"/>
        <v>High value</v>
      </c>
      <c r="L16" s="2" t="s">
        <v>98</v>
      </c>
      <c r="N16" s="40" t="s">
        <v>111</v>
      </c>
      <c r="O16" s="1">
        <v>8124.3</v>
      </c>
      <c r="Q16" s="41" t="s">
        <v>78</v>
      </c>
      <c r="R16" s="1">
        <v>9642.9599999999991</v>
      </c>
    </row>
    <row r="17" spans="1:18" x14ac:dyDescent="0.3">
      <c r="A17" s="29">
        <v>14</v>
      </c>
      <c r="B17" s="17" t="s">
        <v>78</v>
      </c>
      <c r="C17" s="19">
        <v>440</v>
      </c>
      <c r="D17" s="17">
        <v>20</v>
      </c>
      <c r="E17" s="19">
        <f t="shared" si="3"/>
        <v>8800</v>
      </c>
      <c r="F17" s="31">
        <v>0.1</v>
      </c>
      <c r="G17" s="17">
        <f t="shared" si="0"/>
        <v>880</v>
      </c>
      <c r="H17" s="32">
        <v>0.18</v>
      </c>
      <c r="I17" s="19">
        <f t="shared" si="1"/>
        <v>7920</v>
      </c>
      <c r="J17" s="37">
        <f t="shared" si="4"/>
        <v>9345.6</v>
      </c>
      <c r="K17" s="37" t="str">
        <f t="shared" si="2"/>
        <v>High value</v>
      </c>
      <c r="L17" s="2" t="s">
        <v>98</v>
      </c>
      <c r="Q17" s="41" t="s">
        <v>80</v>
      </c>
      <c r="R17" s="1">
        <v>4205.5200000000004</v>
      </c>
    </row>
    <row r="18" spans="1:18" x14ac:dyDescent="0.3">
      <c r="A18" s="33">
        <v>15</v>
      </c>
      <c r="B18" s="34" t="s">
        <v>86</v>
      </c>
      <c r="C18" s="35">
        <v>222</v>
      </c>
      <c r="D18" s="34">
        <v>50</v>
      </c>
      <c r="E18" s="35">
        <f t="shared" si="3"/>
        <v>11100</v>
      </c>
      <c r="F18" s="31">
        <v>0.1</v>
      </c>
      <c r="G18" s="34">
        <f>(E18*10/100)</f>
        <v>1110</v>
      </c>
      <c r="H18" s="36">
        <v>0.18</v>
      </c>
      <c r="I18" s="35">
        <f t="shared" si="1"/>
        <v>9990</v>
      </c>
      <c r="J18" s="38">
        <f t="shared" si="4"/>
        <v>11788.199999999999</v>
      </c>
      <c r="K18" s="38" t="str">
        <f t="shared" si="2"/>
        <v>High value</v>
      </c>
      <c r="L18" s="23" t="s">
        <v>112</v>
      </c>
      <c r="Q18" s="40" t="s">
        <v>98</v>
      </c>
      <c r="R18" s="1">
        <v>35258.399999999994</v>
      </c>
    </row>
    <row r="19" spans="1:18" ht="7.2" customHeight="1" x14ac:dyDescent="0.3">
      <c r="B19" s="45"/>
      <c r="C19" s="45"/>
      <c r="D19" s="45"/>
      <c r="E19" s="45"/>
      <c r="F19" s="45"/>
      <c r="G19" s="45"/>
      <c r="H19" s="45"/>
      <c r="I19" s="45"/>
      <c r="J19" s="45"/>
      <c r="K19" s="45"/>
      <c r="Q19" s="41" t="s">
        <v>87</v>
      </c>
      <c r="R19" s="1">
        <v>16992</v>
      </c>
    </row>
    <row r="20" spans="1:18" ht="22.8" x14ac:dyDescent="0.4">
      <c r="B20" s="46" t="s">
        <v>117</v>
      </c>
      <c r="C20" s="46"/>
      <c r="D20" s="46"/>
      <c r="E20" s="46"/>
      <c r="F20" s="46"/>
      <c r="G20" s="46"/>
      <c r="H20" s="46"/>
      <c r="I20" s="47"/>
      <c r="J20" s="47"/>
      <c r="K20" s="47" t="s">
        <v>109</v>
      </c>
      <c r="L20" s="47"/>
      <c r="M20" s="47"/>
      <c r="N20" s="47"/>
      <c r="O20" s="47"/>
      <c r="Q20" s="41" t="s">
        <v>78</v>
      </c>
      <c r="R20" s="1">
        <v>9345.6</v>
      </c>
    </row>
    <row r="21" spans="1:18" x14ac:dyDescent="0.3">
      <c r="A21">
        <v>1</v>
      </c>
      <c r="B21" t="s">
        <v>99</v>
      </c>
      <c r="C21" t="s">
        <v>100</v>
      </c>
      <c r="E21" s="20">
        <f>SUM(Table3[Gross sales])</f>
        <v>101890</v>
      </c>
      <c r="G21">
        <f>SUM(Table3[Dis Amount])</f>
        <v>10189</v>
      </c>
      <c r="Q21" s="41" t="s">
        <v>82</v>
      </c>
      <c r="R21" s="1">
        <v>8920.7999999999993</v>
      </c>
    </row>
    <row r="22" spans="1:18" x14ac:dyDescent="0.3">
      <c r="B22" t="s">
        <v>101</v>
      </c>
      <c r="C22" t="s">
        <v>102</v>
      </c>
      <c r="E22">
        <f>COUNT(Table3[Gross sales])</f>
        <v>15</v>
      </c>
      <c r="Q22" s="40" t="s">
        <v>111</v>
      </c>
      <c r="R22" s="1">
        <v>108207.18000000002</v>
      </c>
    </row>
    <row r="23" spans="1:18" x14ac:dyDescent="0.3">
      <c r="B23" t="s">
        <v>103</v>
      </c>
      <c r="C23" t="s">
        <v>104</v>
      </c>
      <c r="E23">
        <f>AVERAGE(Table3[Gross sales])</f>
        <v>6792.666666666667</v>
      </c>
      <c r="G23">
        <f>AVERAGE(G4:G18)</f>
        <v>679.26666666666665</v>
      </c>
    </row>
    <row r="24" spans="1:18" x14ac:dyDescent="0.3">
      <c r="B24" t="s">
        <v>105</v>
      </c>
      <c r="C24" t="s">
        <v>106</v>
      </c>
      <c r="E24">
        <f>MAX(Table3[Gross sales])</f>
        <v>16000</v>
      </c>
      <c r="G24">
        <f>MAX(Table3[Dis Amount])</f>
        <v>1600</v>
      </c>
    </row>
  </sheetData>
  <pageMargins left="0.7" right="0.7" top="0.75" bottom="0.75" header="0.3" footer="0.3"/>
  <pageSetup orientation="portrait" r:id="rId5"/>
  <drawing r:id="rId6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EEB6D71-5236-48BD-9AAC-1F17945A23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'SHEET 4'!B4:B18</xm:f>
              <xm:sqref>C33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adya yawalikar</cp:lastModifiedBy>
  <dcterms:created xsi:type="dcterms:W3CDTF">2015-06-05T18:17:20Z</dcterms:created>
  <dcterms:modified xsi:type="dcterms:W3CDTF">2026-02-12T17:01:35Z</dcterms:modified>
</cp:coreProperties>
</file>